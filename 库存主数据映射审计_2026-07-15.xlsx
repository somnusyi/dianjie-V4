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645b61d2d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d7a80f5c5db454f"/>
    <x:sheet xmlns:r="http://schemas.openxmlformats.org/officeDocument/2006/relationships" name="盘点品项" sheetId="2" r:id="Rc31c1333408f470d"/>
    <x:sheet xmlns:r="http://schemas.openxmlformats.org/officeDocument/2006/relationships" name="BOM明细" sheetId="3" r:id="R8792378d2410401a"/>
    <x:sheet xmlns:r="http://schemas.openxmlformats.org/officeDocument/2006/relationships" name="销售菜品" sheetId="4" r:id="R458a4a7e3d294253"/>
    <x:sheet xmlns:r="http://schemas.openxmlformats.org/officeDocument/2006/relationships" name="待确认映射" sheetId="5" r:id="Re7a40e32c1da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1"/>
      <x:color rgb="FF1F2937"/>
      <x:name val="Carlito"/>
    </x:font>
    <x:font>
      <x:i/>
      <x:sz val="11"/>
      <x:color rgb="FF66708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E9E"/>
      </x:patternFill>
    </x:fill>
    <x:fill>
      <x:patternFill patternType="solid">
        <x:fgColor rgb="FFFFF4D6"/>
      </x:patternFill>
    </x:fill>
  </x:fills>
  <x:borders count="5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AECF0"/>
      </x:bottom>
    </x:border>
    <x:border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bf8156ba04deb" /><Relationship Type="http://schemas.openxmlformats.org/officeDocument/2006/relationships/theme" Target="/xl/theme/theme1.xml" Id="R614f2f7825a04948" /><Relationship Type="http://schemas.openxmlformats.org/officeDocument/2006/relationships/sharedStrings" Target="/xl/sharedStrings.xml" Id="R5e383340a3e3498b" /><Relationship Type="http://schemas.openxmlformats.org/officeDocument/2006/relationships/worksheet" Target="/xl/worksheets/sheet1.xml" Id="R6d7a80f5c5db454f" /><Relationship Type="http://schemas.openxmlformats.org/officeDocument/2006/relationships/worksheet" Target="/xl/worksheets/sheet2.xml" Id="Rc31c1333408f470d" /><Relationship Type="http://schemas.openxmlformats.org/officeDocument/2006/relationships/worksheet" Target="/xl/worksheets/sheet3.xml" Id="R8792378d2410401a" /><Relationship Type="http://schemas.openxmlformats.org/officeDocument/2006/relationships/worksheet" Target="/xl/worksheets/sheet4.xml" Id="R458a4a7e3d294253" /><Relationship Type="http://schemas.openxmlformats.org/officeDocument/2006/relationships/worksheet" Target="/xl/worksheets/sheet5.xml" Id="Re7a40e32c1da45f9" /></Relationships>
</file>

<file path=xl/tables/table1.xml><?xml version="1.0" encoding="utf-8"?>
<x:table xmlns:x="http://schemas.openxmlformats.org/spreadsheetml/2006/main" id="1" name="InventoryAuditTable" displayName="InventoryAuditTable" ref="A1:J168" headerRowCount="1" totalsRowCount="0" totalsRowShown="0">
  <x:tableColumns count="10">
    <x:tableColumn id="1" name="岗位"/>
    <x:tableColumn id="2" name="盘点物品名称"/>
    <x:tableColumn id="3" name="包装规格"/>
    <x:tableColumn id="4" name="单位成本"/>
    <x:tableColumn id="5" name="盘点单位"/>
    <x:tableColumn id="6" name="盘点数量"/>
    <x:tableColumn id="7" name="盘点金额"/>
    <x:tableColumn id="8" name="BOM候选原料"/>
    <x:tableColumn id="9" name="相似度"/>
    <x:tableColumn id="1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mAuditTable" displayName="BomAuditTable" ref="A1:N430" headerRowCount="1" totalsRowCount="0" totalsRowShown="0">
  <x:tableColumns count="14">
    <x:tableColumn id="1" name="分类"/>
    <x:tableColumn id="2" name="菜品"/>
    <x:tableColumn id="3" name="BOM原料"/>
    <x:tableColumn id="4" name="净用量"/>
    <x:tableColumn id="5" name="毛用量"/>
    <x:tableColumn id="6" name="出成率"/>
    <x:tableColumn id="7" name="原表单价"/>
    <x:tableColumn id="8" name="单份成本"/>
    <x:tableColumn id="9" name="菜品总成本"/>
    <x:tableColumn id="10" name="售价"/>
    <x:tableColumn id="11" name="毛利率"/>
    <x:tableColumn id="12" name="盘点候选品项"/>
    <x:tableColumn id="13" name="相似度"/>
    <x:tableColumn id="14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AuditTable" displayName="SalesAuditTable" ref="A1:J150" headerRowCount="1" totalsRowCount="0" totalsRowShown="0">
  <x:tableColumns count="10">
    <x:tableColumn id="1" name="销售菜品"/>
    <x:tableColumn id="2" name="销售数量"/>
    <x:tableColumn id="3" name="营业额"/>
    <x:tableColumn id="4" name="营业收入"/>
    <x:tableColumn id="5" name="优惠金额"/>
    <x:tableColumn id="6" name="BOM候选菜品"/>
    <x:tableColumn id="7" name="相似度"/>
    <x:tableColumn id="8" name="状态"/>
    <x:tableColumn id="9" name="能否核算成本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MappingTable" displayName="ReviewMappingTable" ref="A1:F80" headerRowCount="1" totalsRowCount="0" totalsRowShown="0">
  <x:tableColumns count="6">
    <x:tableColumn id="1" name="映射类型"/>
    <x:tableColumn id="2" name="来源名称"/>
    <x:tableColumn id="3" name="候选名称"/>
    <x:tableColumn id="4" name="相似度"/>
    <x:tableColumn id="5" name="状态"/>
    <x:tableColumn id="6" name="确认要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a5ad7162e5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f9c3030af24f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8a51bbe68846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c1c34494f943b6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4" t="str">
        <x:v>滇界瑶海门店｜库存主数据映射审计</x:v>
      </x:c>
      <x:c r="B1" s="4" t="str">
        <x:v>滇界瑶海门店｜库存主数据映射审计</x:v>
      </x:c>
      <x:c r="C1" s="4" t="str">
        <x:v>滇界瑶海门店｜库存主数据映射审计</x:v>
      </x:c>
      <x:c r="D1" s="4" t="str">
        <x:v>滇界瑶海门店｜库存主数据映射审计</x:v>
      </x:c>
      <x:c r="E1" s="4" t="str">
        <x:v>滇界瑶海门店｜库存主数据映射审计</x:v>
      </x:c>
      <x:c r="F1" s="4" t="str">
        <x:v>滇界瑶海门店｜库存主数据映射审计</x:v>
      </x:c>
    </x:row>
    <x:row r="2"/>
    <x:row r="3" ht="15" hidden="0" customHeight="1">
      <x:c r="A3" s="13" t="str">
        <x:v>数据范围</x:v>
      </x:c>
      <x:c r="B3" s="14" t="str">
        <x:v>结果</x:v>
      </x:c>
      <x:c r="D3" s="13" t="str">
        <x:v>结论与使用说明</x:v>
      </x:c>
      <x:c r="E3" s="28" t="str">
        <x:v>结论与使用说明</x:v>
      </x:c>
      <x:c r="F3" s="14" t="str">
        <x:v>结论与使用说明</x:v>
      </x:c>
    </x:row>
    <x:row r="4" ht="15" hidden="0" customHeight="1">
      <x:c r="A4" s="22" t="str">
        <x:v>盘点品项数</x:v>
      </x:c>
      <x:c r="B4" s="22" t="n">
        <x:f>COUNTA('盘点品项'!B2:B168)</x:f>
        <x:v>167</x:v>
      </x:c>
      <x:c r="D4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4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4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5" ht="24" hidden="0" customHeight="1">
      <x:c r="A5" s="22" t="str">
        <x:v>7·13盘点金额（元）</x:v>
      </x:c>
      <x:c r="B5" s="23" t="n">
        <x:f>SUM('盘点品项'!G2:G168)</x:f>
        <x:v>31649.58600000001</x:v>
      </x:c>
      <x:c r="D5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5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5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6" ht="15" hidden="0" customHeight="1">
      <x:c r="A6" s="22" t="str">
        <x:v>BOM分类数</x:v>
      </x:c>
      <x:c r="B6" s="22" t="n">
        <x:f>7</x:f>
        <x:v>7</x:v>
      </x:c>
      <x:c r="D6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6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6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7" ht="15" hidden="0" customHeight="1">
      <x:c r="A7" s="22" t="str">
        <x:v>BOM菜品数</x:v>
      </x:c>
      <x:c r="B7" s="22" t="n">
        <x:f>109</x:f>
        <x:v>109</x:v>
      </x:c>
      <x:c r="D7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7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7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8" ht="24" hidden="0" customHeight="1">
      <x:c r="A8" s="22" t="str">
        <x:v>BOM原料行数</x:v>
      </x:c>
      <x:c r="B8" s="22" t="n">
        <x:f>COUNTA('BOM明细'!C2:C430)</x:f>
        <x:v>429</x:v>
      </x:c>
      <x:c r="D8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8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8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9" ht="24" hidden="0" customHeight="1">
      <x:c r="A9" s="22" t="str">
        <x:v>BOM原料名称数</x:v>
      </x:c>
      <x:c r="B9" s="22" t="n">
        <x:f>240</x:f>
        <x:v>240</x:v>
      </x:c>
      <x:c r="D9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9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9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10" ht="15" hidden="0" customHeight="1">
      <x:c r="A10" s="22" t="str">
        <x:v>销售菜品数</x:v>
      </x:c>
      <x:c r="B10" s="22" t="n">
        <x:f>COUNTA('销售菜品'!A2:A150)</x:f>
        <x:v>149</x:v>
      </x:c>
      <x:c r="D10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E10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  <x:c r="F10" s="32" t="str">
        <x:v>1. 盘点品项必须先映射为产品主数据。
2. 本地隔离库已建立167项商品并完成绑定；鲜/冻及不同规格保持独立。
3. 生产环境未写入；供应商、保质期和安全库存待补。
4. 完整BOM待补；旧名、简称、复合料和单位混用需在导入时统一。</x:v>
      </x:c>
    </x:row>
    <x:row r="11" ht="24" hidden="0" customHeight="1">
      <x:c r="A11" s="22" t="str">
        <x:v>盘点→BOM名称一致数</x:v>
      </x:c>
      <x:c r="B11" s="22" t="n">
        <x:f>COUNTIF('盘点品项'!J2:J168,"名称一致")</x:f>
        <x:v>29</x:v>
      </x:c>
    </x:row>
    <x:row r="12" ht="24" hidden="0" customHeight="1">
      <x:c r="A12" s="24" t="str">
        <x:v>销售→BOM名称一致数</x:v>
      </x:c>
      <x:c r="B12" s="24" t="n">
        <x:f>COUNTIF('销售菜品'!H2:H150,"名称一致")</x:f>
        <x:v>81</x:v>
      </x:c>
      <x:c r="D12" s="33" t="str">
        <x:v>生成日期：2026-07-15｜范围：瑶海万达店</x:v>
      </x:c>
      <x:c r="E12" s="33" t="str">
        <x:v>生成日期：2026-07-15｜范围：瑶海万达店</x:v>
      </x:c>
      <x:c r="F12" s="33" t="str">
        <x:v>生成日期：2026-07-15｜范围：瑶海万达店</x:v>
      </x:c>
    </x:row>
  </x:sheetData>
  <x:mergeCells>
    <x:mergeCell ref="A1:F1"/>
    <x:mergeCell ref="D3:F3"/>
    <x:mergeCell ref="D4:F10"/>
    <x:mergeCell ref="D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8" hidden="0" customWidth="1"/>
    <x:col min="9" max="9" width="11" hidden="0" customWidth="1"/>
    <x:col min="10" max="10" width="18" hidden="0" customWidth="1"/>
  </x:cols>
  <x:sheetData>
    <x:row r="1">
      <x:c r="A1" s="13" t="str">
        <x:v>岗位</x:v>
      </x:c>
      <x:c r="B1" s="28" t="str">
        <x:v>盘点物品名称</x:v>
      </x:c>
      <x:c r="C1" s="28" t="str">
        <x:v>包装规格</x:v>
      </x:c>
      <x:c r="D1" s="28" t="str">
        <x:v>单位成本</x:v>
      </x:c>
      <x:c r="E1" s="28" t="str">
        <x:v>盘点单位</x:v>
      </x:c>
      <x:c r="F1" s="28" t="str">
        <x:v>盘点数量</x:v>
      </x:c>
      <x:c r="G1" s="28" t="str">
        <x:v>盘点金额</x:v>
      </x:c>
      <x:c r="H1" s="28" t="str">
        <x:v>BOM候选原料</x:v>
      </x:c>
      <x:c r="I1" s="28" t="str">
        <x:v>相似度</x:v>
      </x:c>
      <x:c r="J1" s="14" t="str">
        <x:v>状态</x:v>
      </x:c>
    </x:row>
    <x:row r="2">
      <x:c r="A2" s="22" t="str">
        <x:v>菌菇岗</x:v>
      </x:c>
      <x:c r="B2" s="22" t="str">
        <x:v>白葱（鲜菌）</x:v>
      </x:c>
      <x:c r="C2" s="22" t="str">
        <x:v>件/1000g</x:v>
      </x:c>
      <x:c r="D2" s="34" t="str">
        <x:v>167.5</x:v>
      </x:c>
      <x:c r="E2" s="22" t="str">
        <x:v>斤</x:v>
      </x:c>
      <x:c r="F2" s="34" t="n">
        <x:v>2.1</x:v>
      </x:c>
      <x:c r="G2" s="34" t="n">
        <x:v>351.75</x:v>
      </x:c>
      <x:c r="H2" s="22" t="str">
        <x:v>白醋</x:v>
      </x:c>
      <x:c r="I2" s="36" t="n">
        <x:v>0.3333</x:v>
      </x:c>
      <x:c r="J2" s="22" t="str">
        <x:v>未匹配</x:v>
      </x:c>
    </x:row>
    <x:row r="3">
      <x:c r="A3" s="22" t="str">
        <x:v>菌菇岗</x:v>
      </x:c>
      <x:c r="B3" s="22" t="str">
        <x:v>紫葱（鲜菌）</x:v>
      </x:c>
      <x:c r="C3" s="22" t="str">
        <x:v>件/1000g</x:v>
      </x:c>
      <x:c r="D3" s="34" t="str">
        <x:v>105</x:v>
      </x:c>
      <x:c r="E3" s="22" t="str">
        <x:v>斤</x:v>
      </x:c>
      <x:c r="F3" s="34" t="n">
        <x:v>2</x:v>
      </x:c>
      <x:c r="G3" s="34" t="n">
        <x:v>210</x:v>
      </x:c>
      <x:c r="H3" s="22" t="str">
        <x:v>洋葱</x:v>
      </x:c>
      <x:c r="I3" s="36" t="n">
        <x:v>0.3333</x:v>
      </x:c>
      <x:c r="J3" s="22" t="str">
        <x:v>未匹配</x:v>
      </x:c>
    </x:row>
    <x:row r="4">
      <x:c r="A4" s="22" t="str">
        <x:v>菌菇岗</x:v>
      </x:c>
      <x:c r="B4" s="22" t="str">
        <x:v>美味牛肝菌（鲜菌）</x:v>
      </x:c>
      <x:c r="C4" s="22" t="str">
        <x:v>件/1000g</x:v>
      </x:c>
      <x:c r="D4" s="34" t="str">
        <x:v>59</x:v>
      </x:c>
      <x:c r="E4" s="22" t="str">
        <x:v>斤</x:v>
      </x:c>
      <x:c r="F4" s="34" t="n">
        <x:v>2.7</x:v>
      </x:c>
      <x:c r="G4" s="34" t="n">
        <x:v>159.3</x:v>
      </x:c>
      <x:c r="H4" s="22" t="str">
        <x:v>牛肝菌</x:v>
      </x:c>
      <x:c r="I4" s="36" t="n">
        <x:v>0.8257</x:v>
      </x:c>
      <x:c r="J4" s="22" t="str">
        <x:v>可能匹配待确认</x:v>
      </x:c>
    </x:row>
    <x:row r="5">
      <x:c r="A5" s="22" t="str">
        <x:v>菌菇岗</x:v>
      </x:c>
      <x:c r="B5" s="22" t="str">
        <x:v>黄牛肝菌（鲜菌）</x:v>
      </x:c>
      <x:c r="C5" s="22" t="str">
        <x:v>件/1000g</x:v>
      </x:c>
      <x:c r="D5" s="34" t="str">
        <x:v>129.5</x:v>
      </x:c>
      <x:c r="E5" s="22" t="str">
        <x:v>斤</x:v>
      </x:c>
      <x:c r="F5" s="34" t="n">
        <x:v>2.1</x:v>
      </x:c>
      <x:c r="G5" s="34" t="n">
        <x:v>271.95</x:v>
      </x:c>
      <x:c r="H5" s="22" t="str">
        <x:v>牛肝菌</x:v>
      </x:c>
      <x:c r="I5" s="36" t="n">
        <x:v>0.84</x:v>
      </x:c>
      <x:c r="J5" s="22" t="str">
        <x:v>可能匹配待确认</x:v>
      </x:c>
    </x:row>
    <x:row r="6">
      <x:c r="A6" s="22" t="str">
        <x:v>菌菇岗</x:v>
      </x:c>
      <x:c r="B6" s="22" t="str">
        <x:v>老人头（鲜菌）</x:v>
      </x:c>
      <x:c r="C6" s="22" t="str">
        <x:v>件/1000g</x:v>
      </x:c>
      <x:c r="D6" s="34" t="str">
        <x:v>65</x:v>
      </x:c>
      <x:c r="E6" s="22" t="str">
        <x:v>斤</x:v>
      </x:c>
      <x:c r="F6" s="34" t="n">
        <x:v>2.1</x:v>
      </x:c>
      <x:c r="G6" s="34" t="n">
        <x:v>136.5</x:v>
      </x:c>
      <x:c r="H6" s="22" t="str">
        <x:v>野生老人头</x:v>
      </x:c>
      <x:c r="I6" s="36" t="n">
        <x:v>0.6</x:v>
      </x:c>
      <x:c r="J6" s="22" t="str">
        <x:v>未匹配</x:v>
      </x:c>
    </x:row>
    <x:row r="7">
      <x:c r="A7" s="22" t="str">
        <x:v>菌菇岗</x:v>
      </x:c>
      <x:c r="B7" s="22" t="str">
        <x:v>青头菌（鲜菌）</x:v>
      </x:c>
      <x:c r="C7" s="22" t="str">
        <x:v>件/1000g</x:v>
      </x:c>
      <x:c r="D7" s="34" t="str">
        <x:v>167.5</x:v>
      </x:c>
      <x:c r="E7" s="22" t="str">
        <x:v>斤</x:v>
      </x:c>
      <x:c r="F7" s="34" t="n">
        <x:v>2.4</x:v>
      </x:c>
      <x:c r="G7" s="34" t="n">
        <x:v>402</x:v>
      </x:c>
      <x:c r="H7" s="22" t="str">
        <x:v>野生青头菌</x:v>
      </x:c>
      <x:c r="I7" s="36" t="n">
        <x:v>0.6</x:v>
      </x:c>
      <x:c r="J7" s="22" t="str">
        <x:v>未匹配</x:v>
      </x:c>
    </x:row>
    <x:row r="8">
      <x:c r="A8" s="22" t="str">
        <x:v>菌菇岗</x:v>
      </x:c>
      <x:c r="B8" s="22" t="str">
        <x:v>奶浆菌（鲜菌）</x:v>
      </x:c>
      <x:c r="C8" s="22" t="str">
        <x:v>件/1000g</x:v>
      </x:c>
      <x:c r="D8" s="34" t="str">
        <x:v>90</x:v>
      </x:c>
      <x:c r="E8" s="22" t="str">
        <x:v>斤</x:v>
      </x:c>
      <x:c r="F8" s="34" t="n">
        <x:v>1.7</x:v>
      </x:c>
      <x:c r="G8" s="34" t="n">
        <x:v>153</x:v>
      </x:c>
      <x:c r="H8" s="22" t="str">
        <x:v>野生奶浆菌</x:v>
      </x:c>
      <x:c r="I8" s="36" t="n">
        <x:v>0.6</x:v>
      </x:c>
      <x:c r="J8" s="22" t="str">
        <x:v>未匹配</x:v>
      </x:c>
    </x:row>
    <x:row r="9">
      <x:c r="A9" s="22" t="str">
        <x:v>菌菇岗</x:v>
      </x:c>
      <x:c r="B9" s="22" t="str">
        <x:v>虎掌菌</x:v>
      </x:c>
      <x:c r="C9" s="22" t="str">
        <x:v>件/1000g</x:v>
      </x:c>
      <x:c r="D9" s="34" t="str">
        <x:v>22.5</x:v>
      </x:c>
      <x:c r="E9" s="22" t="str">
        <x:v>斤</x:v>
      </x:c>
      <x:c r="F9" s="34" t="n">
        <x:v>8.8</x:v>
      </x:c>
      <x:c r="G9" s="34" t="n">
        <x:v>198</x:v>
      </x:c>
      <x:c r="H9" s="22" t="str">
        <x:v>舞茸菌</x:v>
      </x:c>
      <x:c r="I9" s="36" t="n">
        <x:v>0.3333</x:v>
      </x:c>
      <x:c r="J9" s="22" t="str">
        <x:v>未匹配</x:v>
      </x:c>
    </x:row>
    <x:row r="10">
      <x:c r="A10" s="22" t="str">
        <x:v>菌菇岗</x:v>
      </x:c>
      <x:c r="B10" s="22" t="str">
        <x:v>人工见手青</x:v>
      </x:c>
      <x:c r="C10" s="22" t="str">
        <x:v>件/1000g</x:v>
      </x:c>
      <x:c r="D10" s="34" t="str">
        <x:v>60</x:v>
      </x:c>
      <x:c r="E10" s="22" t="str">
        <x:v>斤</x:v>
      </x:c>
      <x:c r="F10" s="34" t="n">
        <x:v>5</x:v>
      </x:c>
      <x:c r="G10" s="34" t="n">
        <x:v>300</x:v>
      </x:c>
      <x:c r="H10" s="22" t="str">
        <x:v>见手青</x:v>
      </x:c>
      <x:c r="I10" s="36" t="n">
        <x:v>0.86</x:v>
      </x:c>
      <x:c r="J10" s="22" t="str">
        <x:v>高相似待确认</x:v>
      </x:c>
    </x:row>
    <x:row r="11">
      <x:c r="A11" s="22" t="str">
        <x:v>菌菇岗</x:v>
      </x:c>
      <x:c r="B11" s="22" t="str">
        <x:v>羊肚</x:v>
      </x:c>
      <x:c r="C11" s="22" t="str">
        <x:v>件/1000g</x:v>
      </x:c>
      <x:c r="D11" s="34" t="str">
        <x:v>65.5</x:v>
      </x:c>
      <x:c r="E11" s="22" t="str">
        <x:v>斤</x:v>
      </x:c>
      <x:c r="F11" s="34" t="n">
        <x:v>0</x:v>
      </x:c>
      <x:c r="G11" s="34" t="n">
        <x:v>0</x:v>
      </x:c>
      <x:c r="H11" s="22" t="str">
        <x:v>羊肚菌</x:v>
      </x:c>
      <x:c r="I11" s="36" t="n">
        <x:v>0.8733</x:v>
      </x:c>
      <x:c r="J11" s="22" t="str">
        <x:v>高相似待确认</x:v>
      </x:c>
    </x:row>
    <x:row r="12">
      <x:c r="A12" s="22" t="str">
        <x:v>菌菇岗</x:v>
      </x:c>
      <x:c r="B12" s="22" t="str">
        <x:v>冻奶浆菌</x:v>
      </x:c>
      <x:c r="C12" s="22" t="str">
        <x:v>件/1000g</x:v>
      </x:c>
      <x:c r="D12" s="34" t="str">
        <x:v>42.5</x:v>
      </x:c>
      <x:c r="E12" s="22" t="str">
        <x:v>斤</x:v>
      </x:c>
      <x:c r="F12" s="34" t="n">
        <x:v>0</x:v>
      </x:c>
      <x:c r="G12" s="34" t="n">
        <x:v>0</x:v>
      </x:c>
      <x:c r="H12" s="22" t="str">
        <x:v>野生奶浆菌</x:v>
      </x:c>
      <x:c r="I12" s="36" t="n">
        <x:v>0.6667</x:v>
      </x:c>
      <x:c r="J12" s="22" t="str">
        <x:v>未匹配</x:v>
      </x:c>
    </x:row>
    <x:row r="13">
      <x:c r="A13" s="22" t="str">
        <x:v>菌菇岗</x:v>
      </x:c>
      <x:c r="B13" s="22" t="str">
        <x:v>桶装盐渍红乳牛肝菌</x:v>
      </x:c>
      <x:c r="C13" s="22" t="str">
        <x:v>桶/45000g</x:v>
      </x:c>
      <x:c r="D13" s="34" t="str">
        <x:v>20.8</x:v>
      </x:c>
      <x:c r="E13" s="22" t="str">
        <x:v>斤</x:v>
      </x:c>
      <x:c r="F13" s="34" t="n">
        <x:v>0</x:v>
      </x:c>
      <x:c r="G13" s="34" t="n">
        <x:v>0</x:v>
      </x:c>
      <x:c r="H13" s="22" t="str">
        <x:v>红乳牛肝菌</x:v>
      </x:c>
      <x:c r="I13" s="36" t="n">
        <x:v>0.8511</x:v>
      </x:c>
      <x:c r="J13" s="22" t="str">
        <x:v>可能匹配待确认</x:v>
      </x:c>
    </x:row>
    <x:row r="14">
      <x:c r="A14" s="22" t="str">
        <x:v>菌菇岗</x:v>
      </x:c>
      <x:c r="B14" s="22" t="str">
        <x:v>冻老人头菌</x:v>
      </x:c>
      <x:c r="C14" s="22" t="str">
        <x:v>件/1000g</x:v>
      </x:c>
      <x:c r="D14" s="34" t="str">
        <x:v>42.5</x:v>
      </x:c>
      <x:c r="E14" s="22" t="str">
        <x:v>斤</x:v>
      </x:c>
      <x:c r="F14" s="34" t="n">
        <x:v>0</x:v>
      </x:c>
      <x:c r="G14" s="34" t="n">
        <x:v>0</x:v>
      </x:c>
      <x:c r="H14" s="22" t="str">
        <x:v>野生老人头</x:v>
      </x:c>
      <x:c r="I14" s="36" t="n">
        <x:v>0.6</x:v>
      </x:c>
      <x:c r="J14" s="22" t="str">
        <x:v>未匹配</x:v>
      </x:c>
    </x:row>
    <x:row r="15">
      <x:c r="A15" s="22" t="str">
        <x:v>菌菇岗</x:v>
      </x:c>
      <x:c r="B15" s="22" t="str">
        <x:v>龙爪菇</x:v>
      </x:c>
      <x:c r="C15" s="22" t="str">
        <x:v>件/1000g</x:v>
      </x:c>
      <x:c r="D15" s="34" t="str">
        <x:v>20</x:v>
      </x:c>
      <x:c r="E15" s="22" t="str">
        <x:v>斤</x:v>
      </x:c>
      <x:c r="F15" s="34" t="n">
        <x:v>16</x:v>
      </x:c>
      <x:c r="G15" s="34" t="n">
        <x:v>320</x:v>
      </x:c>
      <x:c r="H15" s="22" t="str">
        <x:v>龙爪</x:v>
      </x:c>
      <x:c r="I15" s="36" t="n">
        <x:v>0.8733</x:v>
      </x:c>
      <x:c r="J15" s="22" t="str">
        <x:v>高相似待确认</x:v>
      </x:c>
    </x:row>
    <x:row r="16">
      <x:c r="A16" s="22" t="str">
        <x:v>菌菇岗</x:v>
      </x:c>
      <x:c r="B16" s="22" t="str">
        <x:v>野生香菇</x:v>
      </x:c>
      <x:c r="C16" s="22" t="str">
        <x:v>件/1000g</x:v>
      </x:c>
      <x:c r="D16" s="34" t="str">
        <x:v>37.5</x:v>
      </x:c>
      <x:c r="E16" s="22" t="str">
        <x:v>斤</x:v>
      </x:c>
      <x:c r="F16" s="34" t="n">
        <x:v>5.8</x:v>
      </x:c>
      <x:c r="G16" s="34" t="n">
        <x:v>217.5</x:v>
      </x:c>
      <x:c r="H16" s="22" t="str">
        <x:v>野生青头菌</x:v>
      </x:c>
      <x:c r="I16" s="36" t="n">
        <x:v>0.4444</x:v>
      </x:c>
      <x:c r="J16" s="22" t="str">
        <x:v>未匹配</x:v>
      </x:c>
    </x:row>
    <x:row r="17">
      <x:c r="A17" s="22" t="str">
        <x:v>菌菇岗</x:v>
      </x:c>
      <x:c r="B17" s="22" t="str">
        <x:v>竹荪</x:v>
      </x:c>
      <x:c r="C17" s="22" t="str">
        <x:v>件/500g</x:v>
      </x:c>
      <x:c r="D17" s="34" t="str">
        <x:v>105</x:v>
      </x:c>
      <x:c r="E17" s="22" t="str">
        <x:v>斤</x:v>
      </x:c>
      <x:c r="F17" s="34" t="n">
        <x:v>1</x:v>
      </x:c>
      <x:c r="G17" s="34" t="n">
        <x:v>105</x:v>
      </x:c>
      <x:c r="H17" s="22" t="str">
        <x:v>竹荪</x:v>
      </x:c>
      <x:c r="I17" s="36" t="n">
        <x:v>1</x:v>
      </x:c>
      <x:c r="J17" s="22" t="str">
        <x:v>名称一致</x:v>
      </x:c>
    </x:row>
    <x:row r="18">
      <x:c r="A18" s="22" t="str">
        <x:v>菌菇岗</x:v>
      </x:c>
      <x:c r="B18" s="22" t="str">
        <x:v>舞茸菇</x:v>
      </x:c>
      <x:c r="C18" s="22" t="str">
        <x:v>件/150g</x:v>
      </x:c>
      <x:c r="D18" s="34" t="str">
        <x:v>9.16</x:v>
      </x:c>
      <x:c r="E18" s="22" t="str">
        <x:v>盒</x:v>
      </x:c>
      <x:c r="F18" s="34" t="n">
        <x:v>7</x:v>
      </x:c>
      <x:c r="G18" s="34" t="n">
        <x:v>64.12</x:v>
      </x:c>
      <x:c r="H18" s="22" t="str">
        <x:v>舞茸</x:v>
      </x:c>
      <x:c r="I18" s="36" t="n">
        <x:v>0.8733</x:v>
      </x:c>
      <x:c r="J18" s="22" t="str">
        <x:v>高相似待确认</x:v>
      </x:c>
    </x:row>
    <x:row r="19">
      <x:c r="A19" s="22" t="str">
        <x:v>菌菇岗</x:v>
      </x:c>
      <x:c r="B19" s="22" t="str">
        <x:v>榆黄蘑</x:v>
      </x:c>
      <x:c r="C19" s="22" t="str">
        <x:v>盒</x:v>
      </x:c>
      <x:c r="D19" s="34" t="str">
        <x:v>16</x:v>
      </x:c>
      <x:c r="E19" s="22" t="str">
        <x:v>盒</x:v>
      </x:c>
      <x:c r="F19" s="34" t="n">
        <x:v>20</x:v>
      </x:c>
      <x:c r="G19" s="34" t="n">
        <x:v>320</x:v>
      </x:c>
      <x:c r="H19" s="22" t="str">
        <x:v>榆黄蘑</x:v>
      </x:c>
      <x:c r="I19" s="36" t="n">
        <x:v>1</x:v>
      </x:c>
      <x:c r="J19" s="22" t="str">
        <x:v>名称一致</x:v>
      </x:c>
    </x:row>
    <x:row r="20">
      <x:c r="A20" s="22" t="str">
        <x:v>菌菇岗</x:v>
      </x:c>
      <x:c r="B20" s="22" t="str">
        <x:v>赤松茸</x:v>
      </x:c>
      <x:c r="C20" s="22" t="str">
        <x:v>件/2250g</x:v>
      </x:c>
      <x:c r="D20" s="34" t="str">
        <x:v>24.44</x:v>
      </x:c>
      <x:c r="E20" s="22" t="str">
        <x:v>斤</x:v>
      </x:c>
      <x:c r="F20" s="34" t="n">
        <x:v>2.6</x:v>
      </x:c>
      <x:c r="G20" s="34" t="n">
        <x:v>63.544</x:v>
      </x:c>
      <x:c r="H20" s="22" t="str">
        <x:v>赤松茸</x:v>
      </x:c>
      <x:c r="I20" s="36" t="n">
        <x:v>1</x:v>
      </x:c>
      <x:c r="J20" s="22" t="str">
        <x:v>名称一致</x:v>
      </x:c>
    </x:row>
    <x:row r="21">
      <x:c r="A21" s="22" t="str">
        <x:v>菌菇岗</x:v>
      </x:c>
      <x:c r="B21" s="22" t="str">
        <x:v>滑子菇</x:v>
      </x:c>
      <x:c r="C21" s="22" t="str">
        <x:v>盒/250g</x:v>
      </x:c>
      <x:c r="D21" s="34" t="str">
        <x:v>8.5</x:v>
      </x:c>
      <x:c r="E21" s="22" t="str">
        <x:v>盒</x:v>
      </x:c>
      <x:c r="F21" s="34" t="n">
        <x:v>18</x:v>
      </x:c>
      <x:c r="G21" s="34" t="n">
        <x:v>153</x:v>
      </x:c>
      <x:c r="H21" s="22" t="str">
        <x:v>滑子菇</x:v>
      </x:c>
      <x:c r="I21" s="36" t="n">
        <x:v>1</x:v>
      </x:c>
      <x:c r="J21" s="22" t="str">
        <x:v>名称一致</x:v>
      </x:c>
    </x:row>
    <x:row r="22">
      <x:c r="A22" s="22" t="str">
        <x:v>菌菇岗</x:v>
      </x:c>
      <x:c r="B22" s="22" t="str">
        <x:v>猪肚菌</x:v>
      </x:c>
      <x:c r="C22" s="22" t="str">
        <x:v>件/1500g</x:v>
      </x:c>
      <x:c r="D22" s="34" t="str">
        <x:v>19.33</x:v>
      </x:c>
      <x:c r="E22" s="22" t="str">
        <x:v>斤</x:v>
      </x:c>
      <x:c r="F22" s="34" t="n">
        <x:v>8</x:v>
      </x:c>
      <x:c r="G22" s="34" t="n">
        <x:v>154.64</x:v>
      </x:c>
      <x:c r="H22" s="22" t="str">
        <x:v>猪肚菌</x:v>
      </x:c>
      <x:c r="I22" s="36" t="n">
        <x:v>1</x:v>
      </x:c>
      <x:c r="J22" s="22" t="str">
        <x:v>名称一致</x:v>
      </x:c>
    </x:row>
    <x:row r="23">
      <x:c r="A23" s="22" t="str">
        <x:v>菌菇岗</x:v>
      </x:c>
      <x:c r="B23" s="22" t="str">
        <x:v>绣球菌</x:v>
      </x:c>
      <x:c r="C23" s="22" t="str">
        <x:v>盒/1000g</x:v>
      </x:c>
      <x:c r="D23" s="34" t="str">
        <x:v>17.5</x:v>
      </x:c>
      <x:c r="E23" s="22" t="str">
        <x:v>斤</x:v>
      </x:c>
      <x:c r="F23" s="34" t="n">
        <x:v>1</x:v>
      </x:c>
      <x:c r="G23" s="34" t="n">
        <x:v>17.5</x:v>
      </x:c>
      <x:c r="H23" s="22" t="str">
        <x:v>绣球菌</x:v>
      </x:c>
      <x:c r="I23" s="36" t="n">
        <x:v>1</x:v>
      </x:c>
      <x:c r="J23" s="22" t="str">
        <x:v>名称一致</x:v>
      </x:c>
    </x:row>
    <x:row r="24">
      <x:c r="A24" s="22" t="str">
        <x:v>菌菇岗</x:v>
      </x:c>
      <x:c r="B24" s="22" t="str">
        <x:v>金耳菌</x:v>
      </x:c>
      <x:c r="C24" s="22" t="str">
        <x:v>件/1000g</x:v>
      </x:c>
      <x:c r="D24" s="34" t="str">
        <x:v>15</x:v>
      </x:c>
      <x:c r="E24" s="22" t="str">
        <x:v>斤</x:v>
      </x:c>
      <x:c r="F24" s="34" t="n">
        <x:v>6</x:v>
      </x:c>
      <x:c r="G24" s="34" t="n">
        <x:v>90</x:v>
      </x:c>
      <x:c r="H24" s="22" t="str">
        <x:v>金耳</x:v>
      </x:c>
      <x:c r="I24" s="36" t="n">
        <x:v>0.8733</x:v>
      </x:c>
      <x:c r="J24" s="22" t="str">
        <x:v>高相似待确认</x:v>
      </x:c>
    </x:row>
    <x:row r="25">
      <x:c r="A25" s="22" t="str">
        <x:v>菌菇岗</x:v>
      </x:c>
      <x:c r="B25" s="22" t="str">
        <x:v>鹿茸菇</x:v>
      </x:c>
      <x:c r="C25" s="22" t="str">
        <x:v>件/2500g</x:v>
      </x:c>
      <x:c r="D25" s="34" t="str">
        <x:v>3.7</x:v>
      </x:c>
      <x:c r="E25" s="22" t="str">
        <x:v>斤</x:v>
      </x:c>
      <x:c r="F25" s="34" t="n">
        <x:v>7.9</x:v>
      </x:c>
      <x:c r="G25" s="34" t="n">
        <x:v>29.23</x:v>
      </x:c>
      <x:c r="H25" s="22" t="str">
        <x:v>鹿茸菇</x:v>
      </x:c>
      <x:c r="I25" s="36" t="n">
        <x:v>1</x:v>
      </x:c>
      <x:c r="J25" s="22" t="str">
        <x:v>名称一致</x:v>
      </x:c>
    </x:row>
    <x:row r="26">
      <x:c r="A26" s="22" t="str">
        <x:v>菌菇岗</x:v>
      </x:c>
      <x:c r="B26" s="22" t="str">
        <x:v>黑牛肝菌</x:v>
      </x:c>
      <x:c r="C26" s="22" t="str">
        <x:v>件/1000g</x:v>
      </x:c>
      <x:c r="D26" s="34" t="str">
        <x:v>36.5</x:v>
      </x:c>
      <x:c r="E26" s="22" t="str">
        <x:v>斤</x:v>
      </x:c>
      <x:c r="F26" s="34" t="n">
        <x:v>7</x:v>
      </x:c>
      <x:c r="G26" s="34" t="n">
        <x:v>255.5</x:v>
      </x:c>
      <x:c r="H26" s="22" t="str">
        <x:v>黑牛肝菌</x:v>
      </x:c>
      <x:c r="I26" s="36" t="n">
        <x:v>1</x:v>
      </x:c>
      <x:c r="J26" s="22" t="str">
        <x:v>名称一致</x:v>
      </x:c>
    </x:row>
    <x:row r="27">
      <x:c r="A27" s="22" t="str">
        <x:v>菌菇岗</x:v>
      </x:c>
      <x:c r="B27" s="22" t="str">
        <x:v>黑皮鸡枞菌</x:v>
      </x:c>
      <x:c r="C27" s="22" t="str">
        <x:v>件/1000g</x:v>
      </x:c>
      <x:c r="D27" s="34" t="str">
        <x:v>25</x:v>
      </x:c>
      <x:c r="E27" s="22" t="str">
        <x:v>斤</x:v>
      </x:c>
      <x:c r="F27" s="34" t="n">
        <x:v>2</x:v>
      </x:c>
      <x:c r="G27" s="34" t="n">
        <x:v>50</x:v>
      </x:c>
      <x:c r="H27" s="22" t="str">
        <x:v>黑皮鸡纵</x:v>
      </x:c>
      <x:c r="I27" s="36" t="n">
        <x:v>0.9</x:v>
      </x:c>
      <x:c r="J27" s="22" t="str">
        <x:v>高相似待确认</x:v>
      </x:c>
    </x:row>
    <x:row r="28">
      <x:c r="A28" s="22" t="str">
        <x:v>菌菇岗</x:v>
      </x:c>
      <x:c r="B28" s="22" t="str">
        <x:v>黑松露</x:v>
      </x:c>
      <x:c r="C28" s="22" t="str">
        <x:v>件/400</x:v>
      </x:c>
      <x:c r="D28" s="34" t="str">
        <x:v>200</x:v>
      </x:c>
      <x:c r="E28" s="22" t="str">
        <x:v>斤</x:v>
      </x:c>
      <x:c r="F28" s="34" t="n">
        <x:v>0</x:v>
      </x:c>
      <x:c r="G28" s="34" t="n">
        <x:v>0</x:v>
      </x:c>
      <x:c r="H28" s="22" t="str">
        <x:v>黑鸡枞</x:v>
      </x:c>
      <x:c r="I28" s="36" t="n">
        <x:v>0.3333</x:v>
      </x:c>
      <x:c r="J28" s="22" t="str">
        <x:v>未匹配</x:v>
      </x:c>
    </x:row>
    <x:row r="29">
      <x:c r="A29" s="22" t="str">
        <x:v>菌菇岗</x:v>
      </x:c>
      <x:c r="B29" s="22" t="str">
        <x:v>冻松茸</x:v>
      </x:c>
      <x:c r="C29" s="22" t="str">
        <x:v>件/1000g</x:v>
      </x:c>
      <x:c r="D29" s="34" t="str">
        <x:v>105</x:v>
      </x:c>
      <x:c r="E29" s="22" t="str">
        <x:v>斤</x:v>
      </x:c>
      <x:c r="F29" s="34" t="n">
        <x:v>0</x:v>
      </x:c>
      <x:c r="G29" s="34" t="n">
        <x:v>0</x:v>
      </x:c>
      <x:c r="H29" s="22" t="str">
        <x:v>赤松茸</x:v>
      </x:c>
      <x:c r="I29" s="36" t="n">
        <x:v>0.6667</x:v>
      </x:c>
      <x:c r="J29" s="22" t="str">
        <x:v>未匹配</x:v>
      </x:c>
    </x:row>
    <x:row r="30">
      <x:c r="A30" s="22" t="str">
        <x:v>菌菇岗</x:v>
      </x:c>
      <x:c r="B30" s="22" t="str">
        <x:v>冻鸡枞</x:v>
      </x:c>
      <x:c r="C30" s="22" t="str">
        <x:v>件/1000g</x:v>
      </x:c>
      <x:c r="D30" s="34" t="str">
        <x:v>105</x:v>
      </x:c>
      <x:c r="E30" s="22" t="str">
        <x:v>斤</x:v>
      </x:c>
      <x:c r="F30" s="34" t="n">
        <x:v>0</x:v>
      </x:c>
      <x:c r="G30" s="34" t="n">
        <x:v>0</x:v>
      </x:c>
      <x:c r="H30" s="22" t="str">
        <x:v>黑鸡枞</x:v>
      </x:c>
      <x:c r="I30" s="36" t="n">
        <x:v>0.6667</x:v>
      </x:c>
      <x:c r="J30" s="22" t="str">
        <x:v>未匹配</x:v>
      </x:c>
    </x:row>
    <x:row r="31">
      <x:c r="A31" s="22" t="str">
        <x:v>菌菇岗</x:v>
      </x:c>
      <x:c r="B31" s="22" t="str">
        <x:v>冻美味牛肝菌</x:v>
      </x:c>
      <x:c r="C31" s="22" t="str">
        <x:v>件/1000g</x:v>
      </x:c>
      <x:c r="D31" s="34" t="str">
        <x:v>42.5</x:v>
      </x:c>
      <x:c r="E31" s="22" t="str">
        <x:v>斤</x:v>
      </x:c>
      <x:c r="F31" s="34" t="n">
        <x:v>0</x:v>
      </x:c>
      <x:c r="G31" s="34" t="n">
        <x:v>0</x:v>
      </x:c>
      <x:c r="H31" s="22" t="str">
        <x:v>牛肝菌</x:v>
      </x:c>
      <x:c r="I31" s="36" t="n">
        <x:v>0.84</x:v>
      </x:c>
      <x:c r="J31" s="22" t="str">
        <x:v>可能匹配待确认</x:v>
      </x:c>
    </x:row>
    <x:row r="32">
      <x:c r="A32" s="22" t="str">
        <x:v>菌菇岗</x:v>
      </x:c>
      <x:c r="B32" s="22" t="str">
        <x:v>冻青头菌</x:v>
      </x:c>
      <x:c r="C32" s="22" t="str">
        <x:v>件/1000g</x:v>
      </x:c>
      <x:c r="D32" s="34" t="str">
        <x:v>69</x:v>
      </x:c>
      <x:c r="E32" s="22" t="str">
        <x:v>斤</x:v>
      </x:c>
      <x:c r="F32" s="34" t="n">
        <x:v>0</x:v>
      </x:c>
      <x:c r="G32" s="34" t="n">
        <x:v>0</x:v>
      </x:c>
      <x:c r="H32" s="22" t="str">
        <x:v>野生青头菌</x:v>
      </x:c>
      <x:c r="I32" s="36" t="n">
        <x:v>0.6667</x:v>
      </x:c>
      <x:c r="J32" s="22" t="str">
        <x:v>未匹配</x:v>
      </x:c>
    </x:row>
    <x:row r="33">
      <x:c r="A33" s="22" t="str">
        <x:v>菌菇岗</x:v>
      </x:c>
      <x:c r="B33" s="22" t="str">
        <x:v>冻黄牛肝菌</x:v>
      </x:c>
      <x:c r="C33" s="22" t="str">
        <x:v>件/1000g</x:v>
      </x:c>
      <x:c r="D33" s="34" t="str">
        <x:v>110</x:v>
      </x:c>
      <x:c r="E33" s="22" t="str">
        <x:v>斤</x:v>
      </x:c>
      <x:c r="F33" s="34" t="n">
        <x:v>0</x:v>
      </x:c>
      <x:c r="G33" s="34" t="n">
        <x:v>0</x:v>
      </x:c>
      <x:c r="H33" s="22" t="str">
        <x:v>牛肝菌</x:v>
      </x:c>
      <x:c r="I33" s="36" t="n">
        <x:v>0.86</x:v>
      </x:c>
      <x:c r="J33" s="22" t="str">
        <x:v>高相似待确认</x:v>
      </x:c>
    </x:row>
    <x:row r="34">
      <x:c r="A34" s="22" t="str">
        <x:v>菌菇岗</x:v>
      </x:c>
      <x:c r="B34" s="22" t="str">
        <x:v>鲍鱼</x:v>
      </x:c>
      <x:c r="C34" s="22" t="str">
        <x:v>件/295</x:v>
      </x:c>
      <x:c r="D34" s="34" t="str">
        <x:v>29.5</x:v>
      </x:c>
      <x:c r="E34" s="22" t="str">
        <x:v>袋</x:v>
      </x:c>
      <x:c r="F34" s="34" t="n">
        <x:v>7.5</x:v>
      </x:c>
      <x:c r="G34" s="34" t="n">
        <x:v>221.25</x:v>
      </x:c>
      <x:c r="H34" s="22" t="str">
        <x:v>鲍鱼</x:v>
      </x:c>
      <x:c r="I34" s="36" t="n">
        <x:v>1</x:v>
      </x:c>
      <x:c r="J34" s="22" t="str">
        <x:v>名称一致</x:v>
      </x:c>
    </x:row>
    <x:row r="35">
      <x:c r="A35" s="22" t="str">
        <x:v>菌菇岗</x:v>
      </x:c>
      <x:c r="B35" s="22" t="str">
        <x:v>八爪鱼</x:v>
      </x:c>
      <x:c r="C35" s="22" t="str">
        <x:v>180/箱</x:v>
      </x:c>
      <x:c r="D35" s="34" t="str">
        <x:v>25.714</x:v>
      </x:c>
      <x:c r="E35" s="22" t="str">
        <x:v>斤</x:v>
      </x:c>
      <x:c r="F35" s="34" t="n">
        <x:v>1</x:v>
      </x:c>
      <x:c r="G35" s="34" t="n">
        <x:v>25.714</x:v>
      </x:c>
      <x:c r="H35" s="22" t="str">
        <x:v>八爪鱼</x:v>
      </x:c>
      <x:c r="I35" s="36" t="n">
        <x:v>1</x:v>
      </x:c>
      <x:c r="J35" s="22" t="str">
        <x:v>名称一致</x:v>
      </x:c>
    </x:row>
    <x:row r="36">
      <x:c r="A36" s="22" t="str">
        <x:v>菌菇岗</x:v>
      </x:c>
      <x:c r="B36" s="22" t="str">
        <x:v>基围虾</x:v>
      </x:c>
      <x:c r="C36" s="22" t="str">
        <x:v>28/斤</x:v>
      </x:c>
      <x:c r="D36" s="34" t="str">
        <x:v>28</x:v>
      </x:c>
      <x:c r="E36" s="22" t="str">
        <x:v>斤</x:v>
      </x:c>
      <x:c r="F36" s="34" t="n">
        <x:v>19.4</x:v>
      </x:c>
      <x:c r="G36" s="34" t="n">
        <x:v>543.2</x:v>
      </x:c>
      <x:c r="H36" s="22" t="str">
        <x:v>虾</x:v>
      </x:c>
      <x:c r="I36" s="36" t="n">
        <x:v>0.5</x:v>
      </x:c>
      <x:c r="J36" s="22" t="str">
        <x:v>未匹配</x:v>
      </x:c>
    </x:row>
    <x:row r="37">
      <x:c r="A37" s="22" t="str">
        <x:v>菌菇岗</x:v>
      </x:c>
      <x:c r="B37" s="22" t="str">
        <x:v>生蚝</x:v>
      </x:c>
      <x:c r="C37" s="22" t="str">
        <x:v>10/个</x:v>
      </x:c>
      <x:c r="D37" s="34" t="str">
        <x:v>10</x:v>
      </x:c>
      <x:c r="E37" s="22" t="str">
        <x:v>个</x:v>
      </x:c>
      <x:c r="F37" s="34" t="n">
        <x:v>50</x:v>
      </x:c>
      <x:c r="G37" s="34" t="n">
        <x:v>500</x:v>
      </x:c>
      <x:c r="H37" s="22" t="str">
        <x:v>生蚝/个</x:v>
      </x:c>
      <x:c r="I37" s="36" t="n">
        <x:v>0.8733</x:v>
      </x:c>
      <x:c r="J37" s="22" t="str">
        <x:v>高相似待确认</x:v>
      </x:c>
    </x:row>
    <x:row r="38">
      <x:c r="A38" s="22" t="str">
        <x:v>菌菇岗</x:v>
      </x:c>
      <x:c r="B38" s="22" t="str">
        <x:v>清远鸡</x:v>
      </x:c>
      <x:c r="C38" s="22" t="str">
        <x:v>13/盒</x:v>
      </x:c>
      <x:c r="D38" s="34" t="str">
        <x:v>13</x:v>
      </x:c>
      <x:c r="E38" s="22" t="str">
        <x:v>盒</x:v>
      </x:c>
      <x:c r="F38" s="34" t="n">
        <x:v>112</x:v>
      </x:c>
      <x:c r="G38" s="34" t="n">
        <x:v>1456</x:v>
      </x:c>
      <x:c r="H38" s="22" t="str">
        <x:v>鸡蛋</x:v>
      </x:c>
      <x:c r="I38" s="36" t="n">
        <x:v>0.4</x:v>
      </x:c>
      <x:c r="J38" s="22" t="str">
        <x:v>未匹配</x:v>
      </x:c>
    </x:row>
    <x:row r="39">
      <x:c r="A39" s="22" t="str">
        <x:v>配锅岗</x:v>
      </x:c>
      <x:c r="B39" s="22" t="str">
        <x:v>9°白米醋</x:v>
      </x:c>
      <x:c r="C39" s="22" t="str">
        <x:v>12瓶/1箱</x:v>
      </x:c>
      <x:c r="D39" s="34" t="str">
        <x:v>4.833</x:v>
      </x:c>
      <x:c r="E39" s="22" t="str">
        <x:v>瓶</x:v>
      </x:c>
      <x:c r="F39" s="34" t="n">
        <x:v>6</x:v>
      </x:c>
      <x:c r="G39" s="34" t="n">
        <x:v>28.998</x:v>
      </x:c>
      <x:c r="H39" s="22" t="str">
        <x:v>白醋</x:v>
      </x:c>
      <x:c r="I39" s="36" t="n">
        <x:v>0.5714</x:v>
      </x:c>
      <x:c r="J39" s="22" t="str">
        <x:v>未匹配</x:v>
      </x:c>
    </x:row>
    <x:row r="40">
      <x:c r="A40" s="22" t="str">
        <x:v>配锅岗</x:v>
      </x:c>
      <x:c r="B40" s="22" t="str">
        <x:v>枸杞</x:v>
      </x:c>
      <x:c r="C40" s="22" t="str">
        <x:v>5斤/袋</x:v>
      </x:c>
      <x:c r="D40" s="34" t="str">
        <x:v>42</x:v>
      </x:c>
      <x:c r="E40" s="22" t="str">
        <x:v>斤</x:v>
      </x:c>
      <x:c r="F40" s="34" t="n">
        <x:v>5.5</x:v>
      </x:c>
      <x:c r="G40" s="34" t="n">
        <x:v>231</x:v>
      </x:c>
      <x:c r="H40" s="22" t="str">
        <x:v>枸杞</x:v>
      </x:c>
      <x:c r="I40" s="36" t="n">
        <x:v>1</x:v>
      </x:c>
      <x:c r="J40" s="22" t="str">
        <x:v>名称一致</x:v>
      </x:c>
    </x:row>
    <x:row r="41">
      <x:c r="A41" s="22" t="str">
        <x:v>配锅岗</x:v>
      </x:c>
      <x:c r="B41" s="22" t="str">
        <x:v>傣味舂鸡爪酱</x:v>
      </x:c>
      <x:c r="C41" s="22" t="str">
        <x:v>2KG/8袋/件</x:v>
      </x:c>
      <x:c r="D41" s="34" t="str">
        <x:v>80</x:v>
      </x:c>
      <x:c r="E41" s="22" t="str">
        <x:v>袋</x:v>
      </x:c>
      <x:c r="F41" s="34" t="n">
        <x:v>2</x:v>
      </x:c>
      <x:c r="G41" s="34" t="n">
        <x:v>160</x:v>
      </x:c>
      <x:c r="H41" s="22" t="str">
        <x:v>鸡爪</x:v>
      </x:c>
      <x:c r="I41" s="36" t="n">
        <x:v>0.8067</x:v>
      </x:c>
      <x:c r="J41" s="22" t="str">
        <x:v>可能匹配待确认</x:v>
      </x:c>
    </x:row>
    <x:row r="42">
      <x:c r="A42" s="22" t="str">
        <x:v>配锅岗</x:v>
      </x:c>
      <x:c r="B42" s="22" t="str">
        <x:v>红枣</x:v>
      </x:c>
      <x:c r="C42" s="22" t="str">
        <x:v>20斤/箱</x:v>
      </x:c>
      <x:c r="D42" s="34" t="str">
        <x:v>6.75</x:v>
      </x:c>
      <x:c r="E42" s="22" t="str">
        <x:v>斤</x:v>
      </x:c>
      <x:c r="F42" s="34" t="n">
        <x:v>4.8</x:v>
      </x:c>
      <x:c r="G42" s="34" t="n">
        <x:v>32.4</x:v>
      </x:c>
      <x:c r="H42" s="22" t="str">
        <x:v>红枣</x:v>
      </x:c>
      <x:c r="I42" s="36" t="n">
        <x:v>1</x:v>
      </x:c>
      <x:c r="J42" s="22" t="str">
        <x:v>名称一致</x:v>
      </x:c>
    </x:row>
    <x:row r="43">
      <x:c r="A43" s="22" t="str">
        <x:v>配锅岗</x:v>
      </x:c>
      <x:c r="B43" s="22" t="str">
        <x:v>虫草花</x:v>
      </x:c>
      <x:c r="C43" s="22" t="str">
        <x:v>袋/500g</x:v>
      </x:c>
      <x:c r="D43" s="34" t="str">
        <x:v>8.5</x:v>
      </x:c>
      <x:c r="E43" s="22" t="str">
        <x:v>袋</x:v>
      </x:c>
      <x:c r="F43" s="34" t="n">
        <x:v>4</x:v>
      </x:c>
      <x:c r="G43" s="34" t="n">
        <x:v>34</x:v>
      </x:c>
      <x:c r="H43" s="22" t="str">
        <x:v>虫草花</x:v>
      </x:c>
      <x:c r="I43" s="36" t="n">
        <x:v>1</x:v>
      </x:c>
      <x:c r="J43" s="22" t="str">
        <x:v>名称一致</x:v>
      </x:c>
    </x:row>
    <x:row r="44">
      <x:c r="A44" s="22" t="str">
        <x:v>配锅岗</x:v>
      </x:c>
      <x:c r="B44" s="22" t="str">
        <x:v>云南腊排骨</x:v>
      </x:c>
      <x:c r="C44" s="22" t="str">
        <x:v>件/1000g</x:v>
      </x:c>
      <x:c r="D44" s="34" t="str">
        <x:v>32.5</x:v>
      </x:c>
      <x:c r="E44" s="22" t="str">
        <x:v>斤</x:v>
      </x:c>
      <x:c r="F44" s="34" t="n">
        <x:v>6</x:v>
      </x:c>
      <x:c r="G44" s="34" t="n">
        <x:v>195</x:v>
      </x:c>
      <x:c r="H44" s="22" t="str">
        <x:v>排骨</x:v>
      </x:c>
      <x:c r="I44" s="36" t="n">
        <x:v>0.82</x:v>
      </x:c>
      <x:c r="J44" s="22" t="str">
        <x:v>可能匹配待确认</x:v>
      </x:c>
    </x:row>
    <x:row r="45">
      <x:c r="A45" s="22" t="str">
        <x:v>配锅岗</x:v>
      </x:c>
      <x:c r="B45" s="22" t="str">
        <x:v>云南腊火腿</x:v>
      </x:c>
      <x:c r="C45" s="22" t="str">
        <x:v>件/500g</x:v>
      </x:c>
      <x:c r="D45" s="34" t="str">
        <x:v>49</x:v>
      </x:c>
      <x:c r="E45" s="22" t="str">
        <x:v>斤</x:v>
      </x:c>
      <x:c r="F45" s="34" t="n">
        <x:v>14</x:v>
      </x:c>
      <x:c r="G45" s="34" t="n">
        <x:v>686</x:v>
      </x:c>
      <x:c r="H45" s="22" t="str">
        <x:v>火腿</x:v>
      </x:c>
      <x:c r="I45" s="36" t="n">
        <x:v>0.82</x:v>
      </x:c>
      <x:c r="J45" s="22" t="str">
        <x:v>可能匹配待确认</x:v>
      </x:c>
    </x:row>
    <x:row r="46">
      <x:c r="A46" s="22" t="str">
        <x:v>配锅岗</x:v>
      </x:c>
      <x:c r="B46" s="22" t="str">
        <x:v>新平酸菜（整）</x:v>
      </x:c>
      <x:c r="C46" s="22" t="str">
        <x:v>箱/12kg</x:v>
      </x:c>
      <x:c r="D46" s="34" t="str">
        <x:v>10.3</x:v>
      </x:c>
      <x:c r="E46" s="22" t="str">
        <x:v>袋</x:v>
      </x:c>
      <x:c r="F46" s="34" t="n">
        <x:v>8</x:v>
      </x:c>
      <x:c r="G46" s="34" t="n">
        <x:v>82.4</x:v>
      </x:c>
      <x:c r="H46" s="22" t="str">
        <x:v>新平酸菜</x:v>
      </x:c>
      <x:c r="I46" s="36" t="n">
        <x:v>0.9</x:v>
      </x:c>
      <x:c r="J46" s="22" t="str">
        <x:v>高相似待确认</x:v>
      </x:c>
    </x:row>
    <x:row r="47">
      <x:c r="A47" s="22" t="str">
        <x:v>配锅岗</x:v>
      </x:c>
      <x:c r="B47" s="22" t="str">
        <x:v>酸萝卜丝·富源酸菜</x:v>
      </x:c>
      <x:c r="C47" s="22" t="str">
        <x:v>箱/16kg</x:v>
      </x:c>
      <x:c r="D47" s="34" t="str">
        <x:v>10.2</x:v>
      </x:c>
      <x:c r="E47" s="22" t="str">
        <x:v>袋</x:v>
      </x:c>
      <x:c r="F47" s="34" t="n">
        <x:v>10</x:v>
      </x:c>
      <x:c r="G47" s="34" t="n">
        <x:v>102</x:v>
      </x:c>
      <x:c r="H47" s="22" t="str">
        <x:v>酸萝卜丝</x:v>
      </x:c>
      <x:c r="I47" s="36" t="n">
        <x:v>0.84</x:v>
      </x:c>
      <x:c r="J47" s="22" t="str">
        <x:v>可能匹配待确认</x:v>
      </x:c>
    </x:row>
    <x:row r="48">
      <x:c r="A48" s="22" t="str">
        <x:v>配锅岗</x:v>
      </x:c>
      <x:c r="B48" s="22" t="str">
        <x:v>鸡架</x:v>
      </x:c>
      <x:c r="C48" s="22" t="str">
        <x:v>件/14斤</x:v>
      </x:c>
      <x:c r="D48" s="34" t="str">
        <x:v>26</x:v>
      </x:c>
      <x:c r="E48" s="22" t="str">
        <x:v>件</x:v>
      </x:c>
      <x:c r="F48" s="34" t="n">
        <x:v>7.7</x:v>
      </x:c>
      <x:c r="G48" s="34" t="n">
        <x:v>200.2</x:v>
      </x:c>
      <x:c r="H48" s="22" t="str">
        <x:v>鸡蛋</x:v>
      </x:c>
      <x:c r="I48" s="36" t="n">
        <x:v>0.5</x:v>
      </x:c>
      <x:c r="J48" s="22" t="str">
        <x:v>未匹配</x:v>
      </x:c>
    </x:row>
    <x:row r="49">
      <x:c r="A49" s="22" t="str">
        <x:v>配锅岗</x:v>
      </x:c>
      <x:c r="B49" s="22" t="str">
        <x:v>汤底调味粉·滇界定制</x:v>
      </x:c>
      <x:c r="C49" s="22" t="str">
        <x:v>箱/6件/2500g</x:v>
      </x:c>
      <x:c r="D49" s="34" t="str">
        <x:v>71.66</x:v>
      </x:c>
      <x:c r="E49" s="22" t="str">
        <x:v>袋</x:v>
      </x:c>
      <x:c r="F49" s="34" t="n">
        <x:v>7</x:v>
      </x:c>
      <x:c r="G49" s="34" t="n">
        <x:v>501.62</x:v>
      </x:c>
      <x:c r="H49" s="22" t="str">
        <x:v>调味粉</x:v>
      </x:c>
      <x:c r="I49" s="36" t="n">
        <x:v>0.8067</x:v>
      </x:c>
      <x:c r="J49" s="22" t="str">
        <x:v>可能匹配待确认</x:v>
      </x:c>
    </x:row>
    <x:row r="50">
      <x:c r="A50" s="22" t="str">
        <x:v>配锅岗</x:v>
      </x:c>
      <x:c r="B50" s="22" t="str">
        <x:v>火锅专用红油·滇界定制</x:v>
      </x:c>
      <x:c r="C50" s="22" t="str">
        <x:v>2KG/6袋/件</x:v>
      </x:c>
      <x:c r="D50" s="34" t="str">
        <x:v>96.6</x:v>
      </x:c>
      <x:c r="E50" s="22" t="str">
        <x:v>袋</x:v>
      </x:c>
      <x:c r="F50" s="34" t="n">
        <x:v>2</x:v>
      </x:c>
      <x:c r="G50" s="34" t="n">
        <x:v>193.2</x:v>
      </x:c>
      <x:c r="H50" s="22" t="str">
        <x:v>红油</x:v>
      </x:c>
      <x:c r="I50" s="36" t="n">
        <x:v>0.78</x:v>
      </x:c>
      <x:c r="J50" s="22" t="str">
        <x:v>可能匹配待确认</x:v>
      </x:c>
    </x:row>
    <x:row r="51">
      <x:c r="A51" s="22" t="str">
        <x:v>配锅岗</x:v>
      </x:c>
      <x:c r="B51" s="22" t="str">
        <x:v>特级丘北辣椒</x:v>
      </x:c>
      <x:c r="C51" s="22" t="str">
        <x:v>件/1000g</x:v>
      </x:c>
      <x:c r="D51" s="34" t="str">
        <x:v>16.5</x:v>
      </x:c>
      <x:c r="E51" s="22" t="str">
        <x:v>斤</x:v>
      </x:c>
      <x:c r="F51" s="34" t="n">
        <x:v>2.7</x:v>
      </x:c>
      <x:c r="G51" s="34" t="n">
        <x:v>44.55</x:v>
      </x:c>
      <x:c r="H51" s="22" t="str">
        <x:v>丘北辣椒</x:v>
      </x:c>
      <x:c r="I51" s="36" t="n">
        <x:v>0.8733</x:v>
      </x:c>
      <x:c r="J51" s="22" t="str">
        <x:v>高相似待确认</x:v>
      </x:c>
    </x:row>
    <x:row r="52">
      <x:c r="A52" s="22" t="str">
        <x:v>配锅岗</x:v>
      </x:c>
      <x:c r="B52" s="22" t="str">
        <x:v>特级丘北辣椒碎</x:v>
      </x:c>
      <x:c r="C52" s="22" t="str">
        <x:v>件/1000g</x:v>
      </x:c>
      <x:c r="D52" s="34" t="str">
        <x:v>20</x:v>
      </x:c>
      <x:c r="E52" s="22" t="str">
        <x:v>斤</x:v>
      </x:c>
      <x:c r="F52" s="34" t="n">
        <x:v>2</x:v>
      </x:c>
      <x:c r="G52" s="34" t="n">
        <x:v>40</x:v>
      </x:c>
      <x:c r="H52" s="22" t="str">
        <x:v>丘北辣椒</x:v>
      </x:c>
      <x:c r="I52" s="36" t="n">
        <x:v>0.8543</x:v>
      </x:c>
      <x:c r="J52" s="22" t="str">
        <x:v>可能匹配待确认</x:v>
      </x:c>
    </x:row>
    <x:row r="53">
      <x:c r="A53" s="22" t="str">
        <x:v>配锅岗</x:v>
      </x:c>
      <x:c r="B53" s="22" t="str">
        <x:v>特级子弹头</x:v>
      </x:c>
      <x:c r="C53" s="22" t="str">
        <x:v>件/1000g</x:v>
      </x:c>
      <x:c r="D53" s="34" t="str">
        <x:v>12.5</x:v>
      </x:c>
      <x:c r="E53" s="22" t="str">
        <x:v>斤</x:v>
      </x:c>
      <x:c r="F53" s="34" t="n">
        <x:v>0.6</x:v>
      </x:c>
      <x:c r="G53" s="34" t="n">
        <x:v>7.5</x:v>
      </x:c>
      <x:c r="H53" s="22" t="str">
        <x:v>子弹头椒</x:v>
      </x:c>
      <x:c r="I53" s="36" t="n">
        <x:v>0.6667</x:v>
      </x:c>
      <x:c r="J53" s="22" t="str">
        <x:v>未匹配</x:v>
      </x:c>
    </x:row>
    <x:row r="54">
      <x:c r="A54" s="22" t="str">
        <x:v>配锅岗</x:v>
      </x:c>
      <x:c r="B54" s="22" t="str">
        <x:v>特级灯笼椒</x:v>
      </x:c>
      <x:c r="C54" s="22" t="str">
        <x:v>件/1000g</x:v>
      </x:c>
      <x:c r="D54" s="34" t="str">
        <x:v>16.5</x:v>
      </x:c>
      <x:c r="E54" s="22" t="str">
        <x:v>斤</x:v>
      </x:c>
      <x:c r="F54" s="34" t="n">
        <x:v>1.4</x:v>
      </x:c>
      <x:c r="G54" s="34" t="n">
        <x:v>23.1</x:v>
      </x:c>
      <x:c r="H54" s="22" t="str">
        <x:v>灯笼椒</x:v>
      </x:c>
      <x:c r="I54" s="36" t="n">
        <x:v>0.86</x:v>
      </x:c>
      <x:c r="J54" s="22" t="str">
        <x:v>高相似待确认</x:v>
      </x:c>
    </x:row>
    <x:row r="55">
      <x:c r="A55" s="22" t="str">
        <x:v>配锅岗</x:v>
      </x:c>
      <x:c r="B55" s="22" t="str">
        <x:v>秘制底料·滇界定制</x:v>
      </x:c>
      <x:c r="C55" s="22" t="str">
        <x:v>箱/100件/150g</x:v>
      </x:c>
      <x:c r="D55" s="34" t="str">
        <x:v>5.05</x:v>
      </x:c>
      <x:c r="E55" s="22" t="str">
        <x:v>件</x:v>
      </x:c>
      <x:c r="F55" s="34" t="n">
        <x:v>33</x:v>
      </x:c>
      <x:c r="G55" s="34" t="n">
        <x:v>166.65</x:v>
      </x:c>
      <x:c r="H55" s="22" t="str">
        <x:v>秘制底料</x:v>
      </x:c>
      <x:c r="I55" s="36" t="n">
        <x:v>0.84</x:v>
      </x:c>
      <x:c r="J55" s="22" t="str">
        <x:v>可能匹配待确认</x:v>
      </x:c>
    </x:row>
    <x:row r="56">
      <x:c r="A56" s="22" t="str">
        <x:v>配锅岗</x:v>
      </x:c>
      <x:c r="B56" s="22" t="str">
        <x:v>金汤</x:v>
      </x:c>
      <x:c r="C56" s="22" t="str">
        <x:v>箱/10袋/1000g</x:v>
      </x:c>
      <x:c r="D56" s="34" t="str">
        <x:v>41.5</x:v>
      </x:c>
      <x:c r="E56" s="22" t="str">
        <x:v>袋</x:v>
      </x:c>
      <x:c r="F56" s="34" t="n">
        <x:v>0</x:v>
      </x:c>
      <x:c r="G56" s="34" t="n">
        <x:v>0</x:v>
      </x:c>
      <x:c r="H56" s="22" t="str">
        <x:v>金耳</x:v>
      </x:c>
      <x:c r="I56" s="36" t="n">
        <x:v>0.5</x:v>
      </x:c>
      <x:c r="J56" s="22" t="str">
        <x:v>未匹配</x:v>
      </x:c>
    </x:row>
    <x:row r="57">
      <x:c r="A57" s="22" t="str">
        <x:v>配锅岗</x:v>
      </x:c>
      <x:c r="B57" s="22" t="str">
        <x:v>五常大米</x:v>
      </x:c>
      <x:c r="C57" s="22" t="str">
        <x:v>10kg/袋</x:v>
      </x:c>
      <x:c r="D57" s="34" t="str">
        <x:v>4.15</x:v>
      </x:c>
      <x:c r="E57" s="22" t="str">
        <x:v>斤</x:v>
      </x:c>
      <x:c r="F57" s="34" t="n">
        <x:v>110</x:v>
      </x:c>
      <x:c r="G57" s="34" t="n">
        <x:v>456.5</x:v>
      </x:c>
      <x:c r="H57" s="22" t="str">
        <x:v>冷冻五常大米块</x:v>
      </x:c>
      <x:c r="I57" s="36" t="n">
        <x:v>0.8543</x:v>
      </x:c>
      <x:c r="J57" s="22" t="str">
        <x:v>可能匹配待确认</x:v>
      </x:c>
    </x:row>
    <x:row r="58">
      <x:c r="A58" s="22" t="str">
        <x:v>配锅岗</x:v>
      </x:c>
      <x:c r="B58" s="22" t="str">
        <x:v>小酥肉</x:v>
      </x:c>
      <x:c r="C58" s="22" t="str">
        <x:v>箱/10袋/1000g</x:v>
      </x:c>
      <x:c r="D58" s="34" t="str">
        <x:v>35.9</x:v>
      </x:c>
      <x:c r="E58" s="22" t="str">
        <x:v>袋</x:v>
      </x:c>
      <x:c r="F58" s="34" t="n">
        <x:v>16</x:v>
      </x:c>
      <x:c r="G58" s="34" t="n">
        <x:v>574.4</x:v>
      </x:c>
      <x:c r="H58" s="22" t="str">
        <x:v>小酥肉</x:v>
      </x:c>
      <x:c r="I58" s="36" t="n">
        <x:v>1</x:v>
      </x:c>
      <x:c r="J58" s="22" t="str">
        <x:v>名称一致</x:v>
      </x:c>
    </x:row>
    <x:row r="59">
      <x:c r="A59" s="22" t="str">
        <x:v>配锅岗</x:v>
      </x:c>
      <x:c r="B59" s="22" t="str">
        <x:v>石屏包浆豆腐（小）</x:v>
      </x:c>
      <x:c r="C59" s="22" t="str">
        <x:v>袋</x:v>
      </x:c>
      <x:c r="D59" s="34" t="str">
        <x:v>6.4</x:v>
      </x:c>
      <x:c r="E59" s="22" t="str">
        <x:v>袋</x:v>
      </x:c>
      <x:c r="F59" s="34" t="n">
        <x:v>39</x:v>
      </x:c>
      <x:c r="G59" s="34" t="n">
        <x:v>249.6</x:v>
      </x:c>
      <x:c r="H59" s="22" t="str">
        <x:v>包浆豆腐</x:v>
      </x:c>
      <x:c r="I59" s="36" t="n">
        <x:v>0.8543</x:v>
      </x:c>
      <x:c r="J59" s="22" t="str">
        <x:v>可能匹配待确认</x:v>
      </x:c>
    </x:row>
    <x:row r="60">
      <x:c r="A60" s="22" t="str">
        <x:v>配锅岗</x:v>
      </x:c>
      <x:c r="B60" s="22" t="str">
        <x:v>紫米糍粑</x:v>
      </x:c>
      <x:c r="C60" s="22" t="str">
        <x:v>箱/20包/300g</x:v>
      </x:c>
      <x:c r="D60" s="34" t="str">
        <x:v>6.05</x:v>
      </x:c>
      <x:c r="E60" s="22" t="str">
        <x:v>包</x:v>
      </x:c>
      <x:c r="F60" s="34" t="n">
        <x:v>0</x:v>
      </x:c>
      <x:c r="G60" s="34" t="n">
        <x:v>0</x:v>
      </x:c>
      <x:c r="H60" s="22" t="str">
        <x:v>米饭</x:v>
      </x:c>
      <x:c r="I60" s="36" t="n">
        <x:v>0.3333</x:v>
      </x:c>
      <x:c r="J60" s="22" t="str">
        <x:v>未匹配</x:v>
      </x:c>
    </x:row>
    <x:row r="61">
      <x:c r="A61" s="22" t="str">
        <x:v>配锅岗</x:v>
      </x:c>
      <x:c r="B61" s="22" t="str">
        <x:v>酥炸平菇</x:v>
      </x:c>
      <x:c r="C61" s="22" t="str">
        <x:v>箱/10袋/1000g</x:v>
      </x:c>
      <x:c r="D61" s="34" t="str">
        <x:v>21.1</x:v>
      </x:c>
      <x:c r="E61" s="22" t="str">
        <x:v>袋</x:v>
      </x:c>
      <x:c r="F61" s="34" t="n">
        <x:v>10</x:v>
      </x:c>
      <x:c r="G61" s="34" t="n">
        <x:v>211</x:v>
      </x:c>
      <x:c r="H61" s="22" t="str">
        <x:v>炸平菇</x:v>
      </x:c>
      <x:c r="I61" s="36" t="n">
        <x:v>0.89</x:v>
      </x:c>
      <x:c r="J61" s="22" t="str">
        <x:v>高相似待确认</x:v>
      </x:c>
    </x:row>
    <x:row r="62">
      <x:c r="A62" s="22" t="str">
        <x:v>配锅岗</x:v>
      </x:c>
      <x:c r="B62" s="22" t="str">
        <x:v>野菜糍粑</x:v>
      </x:c>
      <x:c r="C62" s="22" t="str">
        <x:v>箱/20包/270g</x:v>
      </x:c>
      <x:c r="D62" s="34" t="str">
        <x:v>5.85</x:v>
      </x:c>
      <x:c r="E62" s="22" t="str">
        <x:v>包</x:v>
      </x:c>
      <x:c r="F62" s="34" t="n">
        <x:v>16</x:v>
      </x:c>
      <x:c r="G62" s="34" t="n">
        <x:v>93.6</x:v>
      </x:c>
      <x:c r="H62" s="22" t="str">
        <x:v>野菜粑粑</x:v>
      </x:c>
      <x:c r="I62" s="36" t="n">
        <x:v>0.75</x:v>
      </x:c>
      <x:c r="J62" s="22" t="str">
        <x:v>可能匹配待确认</x:v>
      </x:c>
    </x:row>
    <x:row r="63">
      <x:c r="A63" s="22" t="str">
        <x:v>配锅岗</x:v>
      </x:c>
      <x:c r="B63" s="22" t="str">
        <x:v>黄粉皮</x:v>
      </x:c>
      <x:c r="C63" s="22" t="str">
        <x:v>件/500g</x:v>
      </x:c>
      <x:c r="D63" s="34" t="str">
        <x:v>21</x:v>
      </x:c>
      <x:c r="E63" s="22" t="str">
        <x:v>件</x:v>
      </x:c>
      <x:c r="F63" s="34" t="n">
        <x:v>8.6</x:v>
      </x:c>
      <x:c r="G63" s="34" t="n">
        <x:v>180.6</x:v>
      </x:c>
      <x:c r="H63" s="22" t="str">
        <x:v>黄粉皮</x:v>
      </x:c>
      <x:c r="I63" s="36" t="n">
        <x:v>1</x:v>
      </x:c>
      <x:c r="J63" s="22" t="str">
        <x:v>名称一致</x:v>
      </x:c>
    </x:row>
    <x:row r="64">
      <x:c r="A64" s="22" t="str">
        <x:v>配锅岗</x:v>
      </x:c>
      <x:c r="B64" s="22" t="str">
        <x:v>冻干巴菌</x:v>
      </x:c>
      <x:c r="C64" s="22" t="str">
        <x:v>件/1000g</x:v>
      </x:c>
      <x:c r="D64" s="34" t="str">
        <x:v>182.5</x:v>
      </x:c>
      <x:c r="E64" s="22" t="str">
        <x:v>斤</x:v>
      </x:c>
      <x:c r="F64" s="34" t="n">
        <x:v>1.3</x:v>
      </x:c>
      <x:c r="G64" s="34" t="n">
        <x:v>237.25</x:v>
      </x:c>
      <x:c r="H64" s="22" t="str">
        <x:v>干巴菌</x:v>
      </x:c>
      <x:c r="I64" s="36" t="n">
        <x:v>0.89</x:v>
      </x:c>
      <x:c r="J64" s="22" t="str">
        <x:v>高相似待确认</x:v>
      </x:c>
    </x:row>
    <x:row r="65">
      <x:c r="A65" s="22" t="str">
        <x:v>配锅岗</x:v>
      </x:c>
      <x:c r="B65" s="22" t="str">
        <x:v>焖饭汁</x:v>
      </x:c>
      <x:c r="C65" s="22" t="str">
        <x:v>箱/10包/2000g</x:v>
      </x:c>
      <x:c r="D65" s="34" t="str">
        <x:v>41</x:v>
      </x:c>
      <x:c r="E65" s="22" t="str">
        <x:v>包</x:v>
      </x:c>
      <x:c r="F65" s="34" t="n">
        <x:v>5</x:v>
      </x:c>
      <x:c r="G65" s="34" t="n">
        <x:v>205</x:v>
      </x:c>
      <x:c r="H65" s="22" t="str">
        <x:v>焖饭汁</x:v>
      </x:c>
      <x:c r="I65" s="36" t="n">
        <x:v>1</x:v>
      </x:c>
      <x:c r="J65" s="22" t="str">
        <x:v>名称一致</x:v>
      </x:c>
    </x:row>
    <x:row r="66">
      <x:c r="A66" s="22" t="str">
        <x:v>荤菜岗</x:v>
      </x:c>
      <x:c r="B66" s="22" t="str">
        <x:v>牛肉浆</x:v>
      </x:c>
      <x:c r="C66" s="22" t="str">
        <x:v>箱/8袋/2000g</x:v>
      </x:c>
      <x:c r="D66" s="34" t="str">
        <x:v>65.7</x:v>
      </x:c>
      <x:c r="E66" s="22" t="str">
        <x:v>袋</x:v>
      </x:c>
      <x:c r="F66" s="34" t="n">
        <x:v>0</x:v>
      </x:c>
      <x:c r="G66" s="34" t="n">
        <x:v>0</x:v>
      </x:c>
      <x:c r="H66" s="22" t="str">
        <x:v>牛肉丸</x:v>
      </x:c>
      <x:c r="I66" s="36" t="n">
        <x:v>0.6667</x:v>
      </x:c>
      <x:c r="J66" s="22" t="str">
        <x:v>未匹配</x:v>
      </x:c>
    </x:row>
    <x:row r="67">
      <x:c r="A67" s="22" t="str">
        <x:v>荤菜岗</x:v>
      </x:c>
      <x:c r="B67" s="22" t="str">
        <x:v>鲷鱼片</x:v>
      </x:c>
      <x:c r="C67" s="22" t="str">
        <x:v>箱/40包/250g</x:v>
      </x:c>
      <x:c r="D67" s="34" t="str">
        <x:v>17.88</x:v>
      </x:c>
      <x:c r="E67" s="22" t="str">
        <x:v>包</x:v>
      </x:c>
      <x:c r="F67" s="34" t="n">
        <x:v>26</x:v>
      </x:c>
      <x:c r="G67" s="34" t="n">
        <x:v>464.88</x:v>
      </x:c>
      <x:c r="H67" s="22" t="str">
        <x:v>魭鱼片</x:v>
      </x:c>
      <x:c r="I67" s="36" t="n">
        <x:v>0.6667</x:v>
      </x:c>
      <x:c r="J67" s="22" t="str">
        <x:v>未匹配</x:v>
      </x:c>
    </x:row>
    <x:row r="68">
      <x:c r="A68" s="22" t="str">
        <x:v>荤菜岗</x:v>
      </x:c>
      <x:c r="B68" s="22" t="str">
        <x:v>鸭肠</x:v>
      </x:c>
      <x:c r="C68" s="22" t="str">
        <x:v>件/24袋</x:v>
      </x:c>
      <x:c r="D68" s="34" t="str">
        <x:v>18.66</x:v>
      </x:c>
      <x:c r="E68" s="22" t="str">
        <x:v>袋</x:v>
      </x:c>
      <x:c r="F68" s="34" t="n">
        <x:v>12</x:v>
      </x:c>
      <x:c r="G68" s="34" t="n">
        <x:v>223.92</x:v>
      </x:c>
      <x:c r="H68" s="22" t="str">
        <x:v>鸭肠</x:v>
      </x:c>
      <x:c r="I68" s="36" t="n">
        <x:v>1</x:v>
      </x:c>
      <x:c r="J68" s="22" t="str">
        <x:v>名称一致</x:v>
      </x:c>
    </x:row>
    <x:row r="69">
      <x:c r="A69" s="22" t="str">
        <x:v>荤菜岗</x:v>
      </x:c>
      <x:c r="B69" s="22" t="str">
        <x:v>猪肉饼</x:v>
      </x:c>
      <x:c r="C69" s="22" t="str">
        <x:v>箱/17罐/750g</x:v>
      </x:c>
      <x:c r="D69" s="34" t="str">
        <x:v>19.41</x:v>
      </x:c>
      <x:c r="E69" s="22" t="str">
        <x:v>罐</x:v>
      </x:c>
      <x:c r="F69" s="34" t="n">
        <x:v>6</x:v>
      </x:c>
      <x:c r="G69" s="34" t="n">
        <x:v>116.46</x:v>
      </x:c>
      <x:c r="H69" s="22" t="str">
        <x:v>猪肉饼</x:v>
      </x:c>
      <x:c r="I69" s="36" t="n">
        <x:v>1</x:v>
      </x:c>
      <x:c r="J69" s="22" t="str">
        <x:v>名称一致</x:v>
      </x:c>
    </x:row>
    <x:row r="70">
      <x:c r="A70" s="22" t="str">
        <x:v>荤菜岗</x:v>
      </x:c>
      <x:c r="B70" s="22" t="str">
        <x:v>猪黄喉</x:v>
      </x:c>
      <x:c r="C70" s="22" t="str">
        <x:v>5斤/包</x:v>
      </x:c>
      <x:c r="D70" s="34" t="str">
        <x:v>28.2</x:v>
      </x:c>
      <x:c r="E70" s="22" t="str">
        <x:v>斤</x:v>
      </x:c>
      <x:c r="F70" s="34" t="n">
        <x:v>3</x:v>
      </x:c>
      <x:c r="G70" s="34" t="n">
        <x:v>84.6</x:v>
      </x:c>
      <x:c r="H70" s="22" t="str">
        <x:v>黄喉</x:v>
      </x:c>
      <x:c r="I70" s="36" t="n">
        <x:v>0.8733</x:v>
      </x:c>
      <x:c r="J70" s="22" t="str">
        <x:v>高相似待确认</x:v>
      </x:c>
    </x:row>
    <x:row r="71">
      <x:c r="A71" s="22" t="str">
        <x:v>荤菜岗</x:v>
      </x:c>
      <x:c r="B71" s="22" t="str">
        <x:v>精选水牛脆毛肚</x:v>
      </x:c>
      <x:c r="C71" s="22" t="str">
        <x:v>5斤/包</x:v>
      </x:c>
      <x:c r="D71" s="34" t="str">
        <x:v>43.6</x:v>
      </x:c>
      <x:c r="E71" s="22" t="str">
        <x:v>袋</x:v>
      </x:c>
      <x:c r="F71" s="34" t="n">
        <x:v>2</x:v>
      </x:c>
      <x:c r="G71" s="34" t="n">
        <x:v>87.2</x:v>
      </x:c>
      <x:c r="H71" s="22" t="str">
        <x:v>毛肚</x:v>
      </x:c>
      <x:c r="I71" s="36" t="n">
        <x:v>0.7971</x:v>
      </x:c>
      <x:c r="J71" s="22" t="str">
        <x:v>可能匹配待确认</x:v>
      </x:c>
    </x:row>
    <x:row r="72">
      <x:c r="A72" s="22" t="str">
        <x:v>荤菜岗</x:v>
      </x:c>
      <x:c r="B72" s="22" t="str">
        <x:v>3A黑虎虾滑</x:v>
      </x:c>
      <x:c r="C72" s="22" t="str">
        <x:v>箱/20包/500g</x:v>
      </x:c>
      <x:c r="D72" s="34" t="str">
        <x:v>40.4</x:v>
      </x:c>
      <x:c r="E72" s="22" t="str">
        <x:v>袋</x:v>
      </x:c>
      <x:c r="F72" s="34" t="n">
        <x:v>13</x:v>
      </x:c>
      <x:c r="G72" s="34" t="n">
        <x:v>525.2</x:v>
      </x:c>
      <x:c r="H72" s="22" t="str">
        <x:v>虾滑</x:v>
      </x:c>
      <x:c r="I72" s="36" t="n">
        <x:v>0.8067</x:v>
      </x:c>
      <x:c r="J72" s="22" t="str">
        <x:v>可能匹配待确认</x:v>
      </x:c>
    </x:row>
    <x:row r="73">
      <x:c r="A73" s="22" t="str">
        <x:v>荤菜岗</x:v>
      </x:c>
      <x:c r="B73" s="22" t="str">
        <x:v>千丝蟹柳</x:v>
      </x:c>
      <x:c r="C73" s="22" t="str">
        <x:v>箱/10袋/1000g</x:v>
      </x:c>
      <x:c r="D73" s="34" t="str">
        <x:v>43</x:v>
      </x:c>
      <x:c r="E73" s="22" t="str">
        <x:v>袋</x:v>
      </x:c>
      <x:c r="F73" s="34" t="n">
        <x:v>13</x:v>
      </x:c>
      <x:c r="G73" s="34" t="n">
        <x:v>559</x:v>
      </x:c>
      <x:c r="H73" s="22" t="str">
        <x:v>蟹柳</x:v>
      </x:c>
      <x:c r="I73" s="36" t="n">
        <x:v>0.84</x:v>
      </x:c>
      <x:c r="J73" s="22" t="str">
        <x:v>可能匹配待确认</x:v>
      </x:c>
    </x:row>
    <x:row r="74">
      <x:c r="A74" s="22" t="str">
        <x:v>荤菜岗</x:v>
      </x:c>
      <x:c r="B74" s="22" t="str">
        <x:v>云南牛干巴</x:v>
      </x:c>
      <x:c r="C74" s="22" t="str">
        <x:v>件/1000g</x:v>
      </x:c>
      <x:c r="D74" s="34" t="str">
        <x:v>76</x:v>
      </x:c>
      <x:c r="E74" s="22" t="str">
        <x:v>斤</x:v>
      </x:c>
      <x:c r="F74" s="34" t="n">
        <x:v>3.9</x:v>
      </x:c>
      <x:c r="G74" s="34" t="n">
        <x:v>296.4</x:v>
      </x:c>
      <x:c r="H74" s="22" t="str">
        <x:v>牛干巴</x:v>
      </x:c>
      <x:c r="I74" s="36" t="n">
        <x:v>0.86</x:v>
      </x:c>
      <x:c r="J74" s="22" t="str">
        <x:v>高相似待确认</x:v>
      </x:c>
    </x:row>
    <x:row r="75">
      <x:c r="A75" s="22" t="str">
        <x:v>荤菜岗</x:v>
      </x:c>
      <x:c r="B75" s="22" t="str">
        <x:v>保乐肩（大地飞雪）</x:v>
      </x:c>
      <x:c r="C75" s="22" t="str">
        <x:v>件/1000g</x:v>
      </x:c>
      <x:c r="D75" s="34" t="str">
        <x:v>81</x:v>
      </x:c>
      <x:c r="E75" s="22" t="str">
        <x:v>斤</x:v>
      </x:c>
      <x:c r="F75" s="34" t="n">
        <x:v>13</x:v>
      </x:c>
      <x:c r="G75" s="34" t="n">
        <x:v>1053</x:v>
      </x:c>
      <x:c r="H75" s="22" t="str">
        <x:v>保乐肩</x:v>
      </x:c>
      <x:c r="I75" s="36" t="n">
        <x:v>0.8257</x:v>
      </x:c>
      <x:c r="J75" s="22" t="str">
        <x:v>可能匹配待确认</x:v>
      </x:c>
    </x:row>
    <x:row r="76">
      <x:c r="A76" s="22" t="str">
        <x:v>荤菜岗</x:v>
      </x:c>
      <x:c r="B76" s="22" t="str">
        <x:v>吊龙切片（吊龙前段）</x:v>
      </x:c>
      <x:c r="C76" s="22" t="str">
        <x:v>箱/20包/500g</x:v>
      </x:c>
      <x:c r="D76" s="34" t="str">
        <x:v>53</x:v>
      </x:c>
      <x:c r="E76" s="22" t="str">
        <x:v>斤</x:v>
      </x:c>
      <x:c r="F76" s="34" t="n">
        <x:v>20</x:v>
      </x:c>
      <x:c r="G76" s="34" t="n">
        <x:v>1060</x:v>
      </x:c>
      <x:c r="H76" s="22" t="str">
        <x:v>吊龙</x:v>
      </x:c>
      <x:c r="I76" s="36" t="n">
        <x:v>0.79</x:v>
      </x:c>
      <x:c r="J76" s="22" t="str">
        <x:v>可能匹配待确认</x:v>
      </x:c>
    </x:row>
    <x:row r="77">
      <x:c r="A77" s="22" t="str">
        <x:v>荤菜岗</x:v>
      </x:c>
      <x:c r="B77" s="22" t="str">
        <x:v>味角秘制嫩牛肉（牛霖肉）</x:v>
      </x:c>
      <x:c r="C77" s="22" t="str">
        <x:v>箱/50包/150g</x:v>
      </x:c>
      <x:c r="D77" s="34" t="str">
        <x:v>9.7</x:v>
      </x:c>
      <x:c r="E77" s="22" t="str">
        <x:v>包</x:v>
      </x:c>
      <x:c r="F77" s="34" t="n">
        <x:v>42</x:v>
      </x:c>
      <x:c r="G77" s="34" t="n">
        <x:v>407.4</x:v>
      </x:c>
      <x:c r="H77" s="22" t="str">
        <x:v>嫩肉</x:v>
      </x:c>
      <x:c r="I77" s="36" t="n">
        <x:v>0.3333</x:v>
      </x:c>
      <x:c r="J77" s="22" t="str">
        <x:v>未匹配</x:v>
      </x:c>
    </x:row>
    <x:row r="78">
      <x:c r="A78" s="22" t="str">
        <x:v>荤菜岗</x:v>
      </x:c>
      <x:c r="B78" s="22" t="str">
        <x:v>大米龙（奶香雪花）</x:v>
      </x:c>
      <x:c r="C78" s="22" t="str">
        <x:v>件/1000g</x:v>
      </x:c>
      <x:c r="D78" s="34" t="str">
        <x:v>89</x:v>
      </x:c>
      <x:c r="E78" s="22" t="str">
        <x:v>斤</x:v>
      </x:c>
      <x:c r="F78" s="34" t="n">
        <x:v>5.8</x:v>
      </x:c>
      <x:c r="G78" s="34" t="n">
        <x:v>516.2</x:v>
      </x:c>
      <x:c r="H78" s="22" t="str">
        <x:v>大米龙</x:v>
      </x:c>
      <x:c r="I78" s="36" t="n">
        <x:v>0.8257</x:v>
      </x:c>
      <x:c r="J78" s="22" t="str">
        <x:v>可能匹配待确认</x:v>
      </x:c>
    </x:row>
    <x:row r="79">
      <x:c r="A79" s="22" t="str">
        <x:v>荤菜岗</x:v>
      </x:c>
      <x:c r="B79" s="22" t="str">
        <x:v>板腱切片（五花趾）</x:v>
      </x:c>
      <x:c r="C79" s="22" t="str">
        <x:v>箱/50包/150g</x:v>
      </x:c>
      <x:c r="D79" s="34" t="str">
        <x:v>17.1</x:v>
      </x:c>
      <x:c r="E79" s="22" t="str">
        <x:v>包</x:v>
      </x:c>
      <x:c r="F79" s="34" t="n">
        <x:v>62</x:v>
      </x:c>
      <x:c r="G79" s="34" t="n">
        <x:v>1060.2</x:v>
      </x:c>
      <x:c r="H79" s="22" t="str">
        <x:v>板腱</x:v>
      </x:c>
      <x:c r="I79" s="36" t="n">
        <x:v>0.7971</x:v>
      </x:c>
      <x:c r="J79" s="22" t="str">
        <x:v>可能匹配待确认</x:v>
      </x:c>
    </x:row>
    <x:row r="80">
      <x:c r="A80" s="22" t="str">
        <x:v>荤菜岗</x:v>
      </x:c>
      <x:c r="B80" s="22" t="str">
        <x:v>火锅小香肠</x:v>
      </x:c>
      <x:c r="C80" s="22" t="str">
        <x:v>箱/50包/85g</x:v>
      </x:c>
      <x:c r="D80" s="34" t="str">
        <x:v>6.34</x:v>
      </x:c>
      <x:c r="E80" s="22" t="str">
        <x:v>包</x:v>
      </x:c>
      <x:c r="F80" s="34" t="n">
        <x:v>41</x:v>
      </x:c>
      <x:c r="G80" s="34" t="n">
        <x:v>259.94</x:v>
      </x:c>
      <x:c r="H80" s="22" t="str">
        <x:v>小香肠</x:v>
      </x:c>
      <x:c r="I80" s="36" t="n">
        <x:v>0.86</x:v>
      </x:c>
      <x:c r="J80" s="22" t="str">
        <x:v>高相似待确认</x:v>
      </x:c>
    </x:row>
    <x:row r="81">
      <x:c r="A81" s="22" t="str">
        <x:v>荤菜岗</x:v>
      </x:c>
      <x:c r="B81" s="22" t="str">
        <x:v>牛筋丸</x:v>
      </x:c>
      <x:c r="C81" s="22" t="str">
        <x:v>箱/20包/500g</x:v>
      </x:c>
      <x:c r="D81" s="34" t="str">
        <x:v>23.25</x:v>
      </x:c>
      <x:c r="E81" s="22" t="str">
        <x:v>包</x:v>
      </x:c>
      <x:c r="F81" s="34" t="n">
        <x:v>12</x:v>
      </x:c>
      <x:c r="G81" s="34" t="n">
        <x:v>279</x:v>
      </x:c>
      <x:c r="H81" s="22" t="str">
        <x:v>牛肉丸</x:v>
      </x:c>
      <x:c r="I81" s="36" t="n">
        <x:v>0.6667</x:v>
      </x:c>
      <x:c r="J81" s="22" t="str">
        <x:v>未匹配</x:v>
      </x:c>
    </x:row>
    <x:row r="82">
      <x:c r="A82" s="22" t="str">
        <x:v>荤菜岗</x:v>
      </x:c>
      <x:c r="B82" s="22" t="str">
        <x:v>牛肉浆</x:v>
      </x:c>
      <x:c r="C82" s="22" t="str">
        <x:v>箱/20包/500g</x:v>
      </x:c>
      <x:c r="D82" s="34" t="str">
        <x:v>26</x:v>
      </x:c>
      <x:c r="E82" s="22" t="str">
        <x:v>包</x:v>
      </x:c>
      <x:c r="F82" s="34" t="n">
        <x:v>23</x:v>
      </x:c>
      <x:c r="G82" s="34" t="n">
        <x:v>598</x:v>
      </x:c>
      <x:c r="H82" s="22" t="str">
        <x:v>牛肉丸</x:v>
      </x:c>
      <x:c r="I82" s="36" t="n">
        <x:v>0.6667</x:v>
      </x:c>
      <x:c r="J82" s="22" t="str">
        <x:v>未匹配</x:v>
      </x:c>
    </x:row>
    <x:row r="83">
      <x:c r="A83" s="22" t="str">
        <x:v>荤菜岗</x:v>
      </x:c>
      <x:c r="B83" s="22" t="str">
        <x:v>鲜嫩西冷</x:v>
      </x:c>
      <x:c r="C83" s="22" t="str">
        <x:v>箱/60包/120g</x:v>
      </x:c>
      <x:c r="D83" s="34" t="str">
        <x:v>12</x:v>
      </x:c>
      <x:c r="E83" s="22" t="str">
        <x:v>包</x:v>
      </x:c>
      <x:c r="F83" s="34" t="n">
        <x:v>110</x:v>
      </x:c>
      <x:c r="G83" s="34" t="n">
        <x:v>1320</x:v>
      </x:c>
      <x:c r="H83" s="22" t="str">
        <x:v>西冷</x:v>
      </x:c>
      <x:c r="I83" s="36" t="n">
        <x:v>0.84</x:v>
      </x:c>
      <x:c r="J83" s="22" t="str">
        <x:v>可能匹配待确认</x:v>
      </x:c>
    </x:row>
    <x:row r="84">
      <x:c r="A84" s="22" t="str">
        <x:v>荤菜岗</x:v>
      </x:c>
      <x:c r="B84" s="22" t="str">
        <x:v>黑鱼花</x:v>
      </x:c>
      <x:c r="C84" s="22" t="str">
        <x:v>箱/25包/250g</x:v>
      </x:c>
      <x:c r="D84" s="34" t="str">
        <x:v>11.72</x:v>
      </x:c>
      <x:c r="E84" s="22" t="str">
        <x:v>包</x:v>
      </x:c>
      <x:c r="F84" s="34" t="n">
        <x:v>20</x:v>
      </x:c>
      <x:c r="G84" s="34" t="n">
        <x:v>234.4</x:v>
      </x:c>
      <x:c r="H84" s="22" t="str">
        <x:v>鱼花</x:v>
      </x:c>
      <x:c r="I84" s="36" t="n">
        <x:v>0.8733</x:v>
      </x:c>
      <x:c r="J84" s="22" t="str">
        <x:v>高相似待确认</x:v>
      </x:c>
    </x:row>
    <x:row r="85">
      <x:c r="A85" s="22" t="str">
        <x:v>水吧</x:v>
      </x:c>
      <x:c r="B85" s="22" t="str">
        <x:v>冷冻芒果原浆</x:v>
      </x:c>
      <x:c r="C85" s="22" t="str">
        <x:v>980ML/20瓶/箱</x:v>
      </x:c>
      <x:c r="D85" s="34" t="str">
        <x:v>33.9</x:v>
      </x:c>
      <x:c r="E85" s="22" t="str">
        <x:v>瓶</x:v>
      </x:c>
      <x:c r="F85" s="34" t="n">
        <x:v>0</x:v>
      </x:c>
      <x:c r="G85" s="34" t="n">
        <x:v>0</x:v>
      </x:c>
      <x:c r="H85" s="22" t="str">
        <x:v>冷冻黄皮果</x:v>
      </x:c>
      <x:c r="I85" s="36" t="n">
        <x:v>0.5455</x:v>
      </x:c>
      <x:c r="J85" s="22" t="str">
        <x:v>未匹配</x:v>
      </x:c>
    </x:row>
    <x:row r="86">
      <x:c r="A86" s="22" t="str">
        <x:v>水吧</x:v>
      </x:c>
      <x:c r="B86" s="22" t="str">
        <x:v>鲜花饼</x:v>
      </x:c>
      <x:c r="C86" s="22" t="str">
        <x:v>144个/箱</x:v>
      </x:c>
      <x:c r="D86" s="34" t="str">
        <x:v>1.6</x:v>
      </x:c>
      <x:c r="E86" s="22" t="str">
        <x:v>个</x:v>
      </x:c>
      <x:c r="F86" s="34" t="n">
        <x:v>14</x:v>
      </x:c>
      <x:c r="G86" s="34" t="n">
        <x:v>22.4</x:v>
      </x:c>
      <x:c r="H86" s="22" t="str">
        <x:v>鱼花</x:v>
      </x:c>
      <x:c r="I86" s="36" t="n">
        <x:v>0.4</x:v>
      </x:c>
      <x:c r="J86" s="22" t="str">
        <x:v>未匹配</x:v>
      </x:c>
    </x:row>
    <x:row r="87">
      <x:c r="A87" s="22" t="str">
        <x:v>水吧</x:v>
      </x:c>
      <x:c r="B87" s="22" t="str">
        <x:v>冷冻酸木瓜汁</x:v>
      </x:c>
      <x:c r="C87" s="22" t="str">
        <x:v>1kg/12瓶/箱</x:v>
      </x:c>
      <x:c r="D87" s="34" t="str">
        <x:v>36.25</x:v>
      </x:c>
      <x:c r="E87" s="22" t="str">
        <x:v>瓶</x:v>
      </x:c>
      <x:c r="F87" s="34" t="n">
        <x:v>3</x:v>
      </x:c>
      <x:c r="G87" s="34" t="n">
        <x:v>108.75</x:v>
      </x:c>
      <x:c r="H87" s="22" t="str">
        <x:v>冷冻酸木瓜汁</x:v>
      </x:c>
      <x:c r="I87" s="36" t="n">
        <x:v>1</x:v>
      </x:c>
      <x:c r="J87" s="22" t="str">
        <x:v>名称一致</x:v>
      </x:c>
    </x:row>
    <x:row r="88">
      <x:c r="A88" s="22" t="str">
        <x:v>水吧</x:v>
      </x:c>
      <x:c r="B88" s="22" t="str">
        <x:v>冷冻酸木瓜片</x:v>
      </x:c>
      <x:c r="C88" s="22" t="str">
        <x:v>500g*16包/箱</x:v>
      </x:c>
      <x:c r="D88" s="34" t="str">
        <x:v>17</x:v>
      </x:c>
      <x:c r="E88" s="22" t="str">
        <x:v>包</x:v>
      </x:c>
      <x:c r="F88" s="34" t="n">
        <x:v>1.4</x:v>
      </x:c>
      <x:c r="G88" s="34" t="n">
        <x:v>23.8</x:v>
      </x:c>
      <x:c r="H88" s="22" t="str">
        <x:v>冷冻酸木瓜汁</x:v>
      </x:c>
      <x:c r="I88" s="36" t="n">
        <x:v>0.8333</x:v>
      </x:c>
      <x:c r="J88" s="22" t="str">
        <x:v>可能匹配待确认</x:v>
      </x:c>
    </x:row>
    <x:row r="89">
      <x:c r="A89" s="22" t="str">
        <x:v>水吧</x:v>
      </x:c>
      <x:c r="B89" s="22" t="str">
        <x:v>冷冻青芒原浆</x:v>
      </x:c>
      <x:c r="C89" s="22" t="str">
        <x:v>980g/20瓶/箱</x:v>
      </x:c>
      <x:c r="D89" s="34" t="str">
        <x:v>36.25</x:v>
      </x:c>
      <x:c r="E89" s="22" t="str">
        <x:v>瓶</x:v>
      </x:c>
      <x:c r="F89" s="34" t="n">
        <x:v>0</x:v>
      </x:c>
      <x:c r="G89" s="34" t="n">
        <x:v>0</x:v>
      </x:c>
      <x:c r="H89" s="22" t="str">
        <x:v>青芒果汁</x:v>
      </x:c>
      <x:c r="I89" s="36" t="n">
        <x:v>0.4</x:v>
      </x:c>
      <x:c r="J89" s="22" t="str">
        <x:v>未匹配</x:v>
      </x:c>
    </x:row>
    <x:row r="90">
      <x:c r="A90" s="22" t="str">
        <x:v>水吧</x:v>
      </x:c>
      <x:c r="B90" s="22" t="str">
        <x:v>冷冻香橙胡萝卜汁</x:v>
      </x:c>
      <x:c r="C90" s="22" t="str">
        <x:v>280g*2包/袋*30包/箱</x:v>
      </x:c>
      <x:c r="D90" s="34" t="str">
        <x:v>18.16</x:v>
      </x:c>
      <x:c r="E90" s="22" t="str">
        <x:v>包</x:v>
      </x:c>
      <x:c r="F90" s="34" t="n">
        <x:v>66</x:v>
      </x:c>
      <x:c r="G90" s="34" t="n">
        <x:v>1198.56</x:v>
      </x:c>
      <x:c r="H90" s="22" t="str">
        <x:v>冷冻胡萝卜香橙汁</x:v>
      </x:c>
      <x:c r="I90" s="36" t="n">
        <x:v>0.75</x:v>
      </x:c>
      <x:c r="J90" s="22" t="str">
        <x:v>可能匹配待确认</x:v>
      </x:c>
    </x:row>
    <x:row r="91">
      <x:c r="A91" s="22" t="str">
        <x:v>水吧</x:v>
      </x:c>
      <x:c r="B91" s="22" t="str">
        <x:v>冷冻黄皮果</x:v>
      </x:c>
      <x:c r="C91" s="22" t="str">
        <x:v>1kg/20袋/箱</x:v>
      </x:c>
      <x:c r="D91" s="34" t="str">
        <x:v>29.35</x:v>
      </x:c>
      <x:c r="E91" s="22" t="str">
        <x:v>袋</x:v>
      </x:c>
      <x:c r="F91" s="34" t="n">
        <x:v>0</x:v>
      </x:c>
      <x:c r="G91" s="34" t="n">
        <x:v>0</x:v>
      </x:c>
      <x:c r="H91" s="22" t="str">
        <x:v>冷冻黄皮果</x:v>
      </x:c>
      <x:c r="I91" s="36" t="n">
        <x:v>1</x:v>
      </x:c>
      <x:c r="J91" s="22" t="str">
        <x:v>名称一致</x:v>
      </x:c>
    </x:row>
    <x:row r="92">
      <x:c r="A92" s="22" t="str">
        <x:v>水吧</x:v>
      </x:c>
      <x:c r="B92" s="22" t="str">
        <x:v>冷冻黄皮汁</x:v>
      </x:c>
      <x:c r="C92" s="22" t="str">
        <x:v>980ml/20瓶/箱</x:v>
      </x:c>
      <x:c r="D92" s="34" t="str">
        <x:v>39.5</x:v>
      </x:c>
      <x:c r="E92" s="22" t="str">
        <x:v>瓶</x:v>
      </x:c>
      <x:c r="F92" s="34" t="n">
        <x:v>0</x:v>
      </x:c>
      <x:c r="G92" s="34" t="n">
        <x:v>0</x:v>
      </x:c>
      <x:c r="H92" s="22" t="str">
        <x:v>黄皮汁</x:v>
      </x:c>
      <x:c r="I92" s="36" t="n">
        <x:v>0.86</x:v>
      </x:c>
      <x:c r="J92" s="22" t="str">
        <x:v>高相似待确认</x:v>
      </x:c>
    </x:row>
    <x:row r="93">
      <x:c r="A93" s="22" t="str">
        <x:v>水吧</x:v>
      </x:c>
      <x:c r="B93" s="22" t="str">
        <x:v>柒谦淡奶油</x:v>
      </x:c>
      <x:c r="C93" s="22" t="str">
        <x:v>1L*12瓶</x:v>
      </x:c>
      <x:c r="D93" s="34" t="str">
        <x:v>40</x:v>
      </x:c>
      <x:c r="E93" s="22" t="str">
        <x:v>瓶</x:v>
      </x:c>
      <x:c r="F93" s="34" t="n">
        <x:v>1.8</x:v>
      </x:c>
      <x:c r="G93" s="34" t="n">
        <x:v>72</x:v>
      </x:c>
      <x:c r="H93" s="22" t="str">
        <x:v>红油</x:v>
      </x:c>
      <x:c r="I93" s="36" t="n">
        <x:v>0.2857</x:v>
      </x:c>
      <x:c r="J93" s="22" t="str">
        <x:v>未匹配</x:v>
      </x:c>
    </x:row>
    <x:row r="94">
      <x:c r="A94" s="22" t="str">
        <x:v>水吧</x:v>
      </x:c>
      <x:c r="B94" s="22" t="str">
        <x:v>花生米</x:v>
      </x:c>
      <x:c r="C94" s="22" t="str">
        <x:v>5斤</x:v>
      </x:c>
      <x:c r="D94" s="34" t="str">
        <x:v>9</x:v>
      </x:c>
      <x:c r="E94" s="22" t="str">
        <x:v>斤</x:v>
      </x:c>
      <x:c r="F94" s="34" t="n">
        <x:v>2</x:v>
      </x:c>
      <x:c r="G94" s="34" t="n">
        <x:v>18</x:v>
      </x:c>
      <x:c r="H94" s="22" t="str">
        <x:v>花生米</x:v>
      </x:c>
      <x:c r="I94" s="36" t="n">
        <x:v>1</x:v>
      </x:c>
      <x:c r="J94" s="22" t="str">
        <x:v>名称一致</x:v>
      </x:c>
    </x:row>
    <x:row r="95">
      <x:c r="A95" s="22" t="str">
        <x:v>水吧</x:v>
      </x:c>
      <x:c r="B95" s="22" t="str">
        <x:v>香椰乳</x:v>
      </x:c>
      <x:c r="C95" s="22" t="str">
        <x:v>1L/12瓶/箱</x:v>
      </x:c>
      <x:c r="D95" s="34" t="str">
        <x:v>20.41</x:v>
      </x:c>
      <x:c r="E95" s="22" t="str">
        <x:v>瓶</x:v>
      </x:c>
      <x:c r="F95" s="34" t="n">
        <x:v>0</x:v>
      </x:c>
      <x:c r="G95" s="34" t="n">
        <x:v>0</x:v>
      </x:c>
      <x:c r="H95" s="22" t="str">
        <x:v>香薰</x:v>
      </x:c>
      <x:c r="I95" s="36" t="n">
        <x:v>0.4</x:v>
      </x:c>
      <x:c r="J95" s="22" t="str">
        <x:v>未匹配</x:v>
      </x:c>
    </x:row>
    <x:row r="96">
      <x:c r="A96" s="22" t="str">
        <x:v>水吧</x:v>
      </x:c>
      <x:c r="B96" s="22" t="str">
        <x:v>香水柠檬</x:v>
      </x:c>
      <x:c r="C96" s="22" t="str">
        <x:v>500克/1斤</x:v>
      </x:c>
      <x:c r="D96" s="34" t="str">
        <x:v>6</x:v>
      </x:c>
      <x:c r="E96" s="22" t="str">
        <x:v>斤</x:v>
      </x:c>
      <x:c r="F96" s="34" t="n">
        <x:v>1.9</x:v>
      </x:c>
      <x:c r="G96" s="34" t="n">
        <x:v>11.4</x:v>
      </x:c>
      <x:c r="H96" s="22" t="str">
        <x:v>香水柠檬/2片</x:v>
      </x:c>
      <x:c r="I96" s="36" t="n">
        <x:v>0.8733</x:v>
      </x:c>
      <x:c r="J96" s="22" t="str">
        <x:v>高相似待确认</x:v>
      </x:c>
    </x:row>
    <x:row r="97">
      <x:c r="A97" s="22" t="str">
        <x:v>水吧</x:v>
      </x:c>
      <x:c r="B97" s="22" t="str">
        <x:v>鹰唛炼乳</x:v>
      </x:c>
      <x:c r="C97" s="22" t="str">
        <x:v>380g*1罐</x:v>
      </x:c>
      <x:c r="D97" s="34" t="str">
        <x:v>15</x:v>
      </x:c>
      <x:c r="E97" s="22" t="str">
        <x:v>罐</x:v>
      </x:c>
      <x:c r="F97" s="34" t="n">
        <x:v>3</x:v>
      </x:c>
      <x:c r="G97" s="34" t="n">
        <x:v>45</x:v>
      </x:c>
      <x:c r="H97" s="22" t="str">
        <x:v>红乳</x:v>
      </x:c>
      <x:c r="I97" s="36" t="n">
        <x:v>0.3333</x:v>
      </x:c>
      <x:c r="J97" s="22" t="str">
        <x:v>未匹配</x:v>
      </x:c>
    </x:row>
    <x:row r="98">
      <x:c r="A98" s="22" t="str">
        <x:v>水吧</x:v>
      </x:c>
      <x:c r="B98" s="22" t="str">
        <x:v>SevenQ茉莉绿茶</x:v>
      </x:c>
      <x:c r="C98" s="22" t="str">
        <x:v>500g/30袋/箱</x:v>
      </x:c>
      <x:c r="D98" s="34" t="str">
        <x:v>62.16</x:v>
      </x:c>
      <x:c r="E98" s="22" t="str">
        <x:v>袋</x:v>
      </x:c>
      <x:c r="F98" s="34" t="n">
        <x:v>0.8</x:v>
      </x:c>
      <x:c r="G98" s="34" t="n">
        <x:v>49.728</x:v>
      </x:c>
      <x:c r="H98" s="22" t="str">
        <x:v>茉莉绿茶</x:v>
      </x:c>
      <x:c r="I98" s="36" t="n">
        <x:v>0.82</x:v>
      </x:c>
      <x:c r="J98" s="22" t="str">
        <x:v>可能匹配待确认</x:v>
      </x:c>
    </x:row>
    <x:row r="99">
      <x:c r="A99" s="22" t="str">
        <x:v>水吧</x:v>
      </x:c>
      <x:c r="B99" s="22" t="str">
        <x:v>冷冻刺梨汁</x:v>
      </x:c>
      <x:c r="C99" s="22" t="str">
        <x:v>950g/12瓶/箱</x:v>
      </x:c>
      <x:c r="D99" s="34" t="str">
        <x:v>34</x:v>
      </x:c>
      <x:c r="E99" s="22" t="str">
        <x:v>瓶</x:v>
      </x:c>
      <x:c r="F99" s="34" t="n">
        <x:v>0</x:v>
      </x:c>
      <x:c r="G99" s="34" t="n">
        <x:v>0</x:v>
      </x:c>
      <x:c r="H99" s="22" t="str">
        <x:v>冷冻刺梨汁</x:v>
      </x:c>
      <x:c r="I99" s="36" t="n">
        <x:v>1</x:v>
      </x:c>
      <x:c r="J99" s="22" t="str">
        <x:v>名称一致</x:v>
      </x:c>
    </x:row>
    <x:row r="100">
      <x:c r="A100" s="22" t="str">
        <x:v>水吧</x:v>
      </x:c>
      <x:c r="B100" s="22" t="str">
        <x:v>冷冻红颜草莓肉</x:v>
      </x:c>
      <x:c r="C100" s="22" t="str">
        <x:v>1kg/18包/箱</x:v>
      </x:c>
      <x:c r="D100" s="34" t="str">
        <x:v>20.44</x:v>
      </x:c>
      <x:c r="E100" s="22" t="str">
        <x:v>包</x:v>
      </x:c>
      <x:c r="F100" s="34" t="n">
        <x:v>0</x:v>
      </x:c>
      <x:c r="G100" s="34" t="n">
        <x:v>0</x:v>
      </x:c>
      <x:c r="H100" s="22" t="str">
        <x:v>冷冻草莓果</x:v>
      </x:c>
      <x:c r="I100" s="36" t="n">
        <x:v>0.6667</x:v>
      </x:c>
      <x:c r="J100" s="22" t="str">
        <x:v>未匹配</x:v>
      </x:c>
    </x:row>
    <x:row r="101">
      <x:c r="A101" s="22" t="str">
        <x:v>水吧</x:v>
      </x:c>
      <x:c r="B101" s="22" t="str">
        <x:v>冷冻进口香橙汁</x:v>
      </x:c>
      <x:c r="C101" s="22" t="str">
        <x:v>980ml/20瓶/箱</x:v>
      </x:c>
      <x:c r="D101" s="34" t="str">
        <x:v>39.5</x:v>
      </x:c>
      <x:c r="E101" s="22" t="str">
        <x:v>瓶</x:v>
      </x:c>
      <x:c r="F101" s="34" t="n">
        <x:v>0</x:v>
      </x:c>
      <x:c r="G101" s="34" t="n">
        <x:v>0</x:v>
      </x:c>
      <x:c r="H101" s="22" t="str">
        <x:v>冷冻胡萝卜香橙汁</x:v>
      </x:c>
      <x:c r="I101" s="36" t="n">
        <x:v>0.6667</x:v>
      </x:c>
      <x:c r="J101" s="22" t="str">
        <x:v>未匹配</x:v>
      </x:c>
    </x:row>
    <x:row r="102">
      <x:c r="A102" s="22" t="str">
        <x:v>水吧</x:v>
      </x:c>
      <x:c r="B102" s="22" t="str">
        <x:v>安岳畅享柠檬原汁</x:v>
      </x:c>
      <x:c r="C102" s="22" t="str">
        <x:v>件/1瓶/1kg</x:v>
      </x:c>
      <x:c r="D102" s="34" t="str">
        <x:v>28</x:v>
      </x:c>
      <x:c r="E102" s="22" t="str">
        <x:v>瓶</x:v>
      </x:c>
      <x:c r="F102" s="34" t="n">
        <x:v>4</x:v>
      </x:c>
      <x:c r="G102" s="34" t="n">
        <x:v>112</x:v>
      </x:c>
      <x:c r="H102" s="22" t="str">
        <x:v>柠檬汁</x:v>
      </x:c>
      <x:c r="I102" s="36" t="n">
        <x:v>0.5455</x:v>
      </x:c>
      <x:c r="J102" s="22" t="str">
        <x:v>未匹配</x:v>
      </x:c>
    </x:row>
    <x:row r="103">
      <x:c r="A103" s="22" t="str">
        <x:v>水吧</x:v>
      </x:c>
      <x:c r="B103" s="22" t="str">
        <x:v>木姜子提取液</x:v>
      </x:c>
      <x:c r="C103" s="22" t="str">
        <x:v>450g*6瓶/箱</x:v>
      </x:c>
      <x:c r="D103" s="34" t="str">
        <x:v>49.16</x:v>
      </x:c>
      <x:c r="E103" s="22" t="str">
        <x:v>瓶</x:v>
      </x:c>
      <x:c r="F103" s="34" t="n">
        <x:v>0</x:v>
      </x:c>
      <x:c r="G103" s="34" t="n">
        <x:v>0</x:v>
      </x:c>
      <x:c r="H103" s="22" t="str">
        <x:v>木姜子</x:v>
      </x:c>
      <x:c r="I103" s="36" t="n">
        <x:v>0.84</x:v>
      </x:c>
      <x:c r="J103" s="22" t="str">
        <x:v>可能匹配待确认</x:v>
      </x:c>
    </x:row>
    <x:row r="104">
      <x:c r="A104" s="22" t="str">
        <x:v>水吧</x:v>
      </x:c>
      <x:c r="B104" s="22" t="str">
        <x:v>柒谦奶瓶子酸奶粉</x:v>
      </x:c>
      <x:c r="C104" s="22" t="str">
        <x:v>1kg*包</x:v>
      </x:c>
      <x:c r="D104" s="34" t="str">
        <x:v>45</x:v>
      </x:c>
      <x:c r="E104" s="22" t="str">
        <x:v>包</x:v>
      </x:c>
      <x:c r="F104" s="34" t="n">
        <x:v>0</x:v>
      </x:c>
      <x:c r="G104" s="34" t="n">
        <x:v>0</x:v>
      </x:c>
      <x:c r="H104" s="22" t="str">
        <x:v>酸菜</x:v>
      </x:c>
      <x:c r="I104" s="36" t="n">
        <x:v>0.2</x:v>
      </x:c>
      <x:c r="J104" s="22" t="str">
        <x:v>未匹配</x:v>
      </x:c>
    </x:row>
    <x:row r="105">
      <x:c r="A105" s="22" t="str">
        <x:v>水吧</x:v>
      </x:c>
      <x:c r="B105" s="22" t="str">
        <x:v>甄选刺梨汁</x:v>
      </x:c>
      <x:c r="C105" s="22" t="str">
        <x:v>1.2kg/瓶/箱</x:v>
      </x:c>
      <x:c r="D105" s="34" t="str">
        <x:v>39.58</x:v>
      </x:c>
      <x:c r="E105" s="22" t="str">
        <x:v>瓶</x:v>
      </x:c>
      <x:c r="F105" s="34" t="n">
        <x:v>0</x:v>
      </x:c>
      <x:c r="G105" s="34" t="n">
        <x:v>0</x:v>
      </x:c>
      <x:c r="H105" s="22" t="str">
        <x:v>冷冻刺梨汁</x:v>
      </x:c>
      <x:c r="I105" s="36" t="n">
        <x:v>0.6</x:v>
      </x:c>
      <x:c r="J105" s="22" t="str">
        <x:v>未匹配</x:v>
      </x:c>
    </x:row>
    <x:row r="106">
      <x:c r="A106" s="22" t="str">
        <x:v>水吧</x:v>
      </x:c>
      <x:c r="B106" s="22" t="str">
        <x:v>甄选奇异果果茸</x:v>
      </x:c>
      <x:c r="C106" s="22" t="str">
        <x:v>1.2kg/瓶/箱</x:v>
      </x:c>
      <x:c r="D106" s="34" t="str">
        <x:v>39.58</x:v>
      </x:c>
      <x:c r="E106" s="22" t="str">
        <x:v>瓶</x:v>
      </x:c>
      <x:c r="F106" s="34" t="n">
        <x:v>0</x:v>
      </x:c>
      <x:c r="G106" s="34" t="n">
        <x:v>0</x:v>
      </x:c>
      <x:c r="H106" s="22" t="str">
        <x:v>奇异果茸</x:v>
      </x:c>
      <x:c r="I106" s="36" t="n">
        <x:v>0.7273</x:v>
      </x:c>
      <x:c r="J106" s="22" t="str">
        <x:v>可能匹配待确认</x:v>
      </x:c>
    </x:row>
    <x:row r="107">
      <x:c r="A107" s="22" t="str">
        <x:v>水吧</x:v>
      </x:c>
      <x:c r="B107" s="22" t="str">
        <x:v>甄选芭乐果茸</x:v>
      </x:c>
      <x:c r="C107" s="22" t="str">
        <x:v>1.2kg/瓶/箱</x:v>
      </x:c>
      <x:c r="D107" s="34" t="str">
        <x:v>39.58</x:v>
      </x:c>
      <x:c r="E107" s="22" t="str">
        <x:v>瓶</x:v>
      </x:c>
      <x:c r="F107" s="34" t="n">
        <x:v>1.5</x:v>
      </x:c>
      <x:c r="G107" s="34" t="n">
        <x:v>59.37</x:v>
      </x:c>
      <x:c r="H107" s="22" t="str">
        <x:v>芭乐果茸</x:v>
      </x:c>
      <x:c r="I107" s="36" t="n">
        <x:v>0.8733</x:v>
      </x:c>
      <x:c r="J107" s="22" t="str">
        <x:v>高相似待确认</x:v>
      </x:c>
    </x:row>
    <x:row r="108">
      <x:c r="A108" s="22" t="str">
        <x:v>水吧</x:v>
      </x:c>
      <x:c r="B108" s="22" t="str">
        <x:v>甄选青提汁</x:v>
      </x:c>
      <x:c r="C108" s="22" t="str">
        <x:v>1.2KG/12瓶/箱</x:v>
      </x:c>
      <x:c r="D108" s="34" t="str">
        <x:v>39.58</x:v>
      </x:c>
      <x:c r="E108" s="22" t="str">
        <x:v>瓶</x:v>
      </x:c>
      <x:c r="F108" s="34" t="n">
        <x:v>0</x:v>
      </x:c>
      <x:c r="G108" s="34" t="n">
        <x:v>0</x:v>
      </x:c>
      <x:c r="H108" s="22" t="str">
        <x:v>青柠汁</x:v>
      </x:c>
      <x:c r="I108" s="36" t="n">
        <x:v>0.5</x:v>
      </x:c>
      <x:c r="J108" s="22" t="str">
        <x:v>未匹配</x:v>
      </x:c>
    </x:row>
    <x:row r="109">
      <x:c r="A109" s="22" t="str">
        <x:v>水吧</x:v>
      </x:c>
      <x:c r="B109" s="22" t="str">
        <x:v>祁牧鲜活牛奶</x:v>
      </x:c>
      <x:c r="C109" s="22" t="str">
        <x:v>1L*12盒/箱</x:v>
      </x:c>
      <x:c r="D109" s="34" t="str">
        <x:v>8.3</x:v>
      </x:c>
      <x:c r="E109" s="22" t="str">
        <x:v>盒</x:v>
      </x:c>
      <x:c r="F109" s="34" t="n">
        <x:v>12.3</x:v>
      </x:c>
      <x:c r="G109" s="34" t="n">
        <x:v>102.09</x:v>
      </x:c>
      <x:c r="H109" s="22" t="str">
        <x:v>牛奶</x:v>
      </x:c>
      <x:c r="I109" s="36" t="n">
        <x:v>0.8067</x:v>
      </x:c>
      <x:c r="J109" s="22" t="str">
        <x:v>可能匹配待确认</x:v>
      </x:c>
    </x:row>
    <x:row r="110">
      <x:c r="A110" s="22" t="str">
        <x:v>水吧</x:v>
      </x:c>
      <x:c r="B110" s="22" t="str">
        <x:v>竹蔗风味糖浆</x:v>
      </x:c>
      <x:c r="C110" s="22" t="str">
        <x:v>箱/4袋/5000g</x:v>
      </x:c>
      <x:c r="D110" s="34" t="str">
        <x:v>89</x:v>
      </x:c>
      <x:c r="E110" s="22" t="str">
        <x:v>袋</x:v>
      </x:c>
      <x:c r="F110" s="34" t="n">
        <x:v>0</x:v>
      </x:c>
      <x:c r="G110" s="34" t="n">
        <x:v>0</x:v>
      </x:c>
      <x:c r="H110" s="22" t="str">
        <x:v>糖浆</x:v>
      </x:c>
      <x:c r="I110" s="36" t="n">
        <x:v>0.8067</x:v>
      </x:c>
      <x:c r="J110" s="22" t="str">
        <x:v>可能匹配待确认</x:v>
      </x:c>
    </x:row>
    <x:row r="111">
      <x:c r="A111" s="22" t="str">
        <x:v>水吧</x:v>
      </x:c>
      <x:c r="B111" s="22" t="str">
        <x:v>见手青啤酒</x:v>
      </x:c>
      <x:c r="C111" s="22" t="str">
        <x:v>件/24瓶/330ml</x:v>
      </x:c>
      <x:c r="D111" s="34" t="str">
        <x:v>10.3</x:v>
      </x:c>
      <x:c r="E111" s="22" t="str">
        <x:v>瓶</x:v>
      </x:c>
      <x:c r="F111" s="34" t="n">
        <x:v>29</x:v>
      </x:c>
      <x:c r="G111" s="34" t="n">
        <x:v>298.7</x:v>
      </x:c>
      <x:c r="H111" s="22" t="str">
        <x:v>见手青</x:v>
      </x:c>
      <x:c r="I111" s="36" t="n">
        <x:v>0.86</x:v>
      </x:c>
      <x:c r="J111" s="22" t="str">
        <x:v>高相似待确认</x:v>
      </x:c>
    </x:row>
    <x:row r="112">
      <x:c r="A112" s="22" t="str">
        <x:v>水吧</x:v>
      </x:c>
      <x:c r="B112" s="22" t="str">
        <x:v>调味糖浆（冰糖糖浆）</x:v>
      </x:c>
      <x:c r="C112" s="22" t="str">
        <x:v>2.5kg/桶/箱</x:v>
      </x:c>
      <x:c r="D112" s="34" t="str">
        <x:v>76.6</x:v>
      </x:c>
      <x:c r="E112" s="22" t="str">
        <x:v>桶</x:v>
      </x:c>
      <x:c r="F112" s="34" t="n">
        <x:v>1.5</x:v>
      </x:c>
      <x:c r="G112" s="34" t="n">
        <x:v>114.9</x:v>
      </x:c>
      <x:c r="H112" s="22" t="str">
        <x:v>调味糖浆</x:v>
      </x:c>
      <x:c r="I112" s="36" t="n">
        <x:v>0.84</x:v>
      </x:c>
      <x:c r="J112" s="22" t="str">
        <x:v>可能匹配待确认</x:v>
      </x:c>
    </x:row>
    <x:row r="113">
      <x:c r="A113" s="22" t="str">
        <x:v>水吧</x:v>
      </x:c>
      <x:c r="B113" s="22" t="str">
        <x:v>酸角汁</x:v>
      </x:c>
      <x:c r="C113" s="22" t="str">
        <x:v>箱/12袋/1000g</x:v>
      </x:c>
      <x:c r="D113" s="34" t="str">
        <x:v>34.16</x:v>
      </x:c>
      <x:c r="E113" s="22" t="str">
        <x:v>袋</x:v>
      </x:c>
      <x:c r="F113" s="34" t="n">
        <x:v>1.5</x:v>
      </x:c>
      <x:c r="G113" s="34" t="n">
        <x:v>51.24</x:v>
      </x:c>
      <x:c r="H113" s="22" t="str">
        <x:v>酸角汁</x:v>
      </x:c>
      <x:c r="I113" s="36" t="n">
        <x:v>1</x:v>
      </x:c>
      <x:c r="J113" s="22" t="str">
        <x:v>名称一致</x:v>
      </x:c>
    </x:row>
    <x:row r="114">
      <x:c r="A114" s="22" t="str">
        <x:v>水吧</x:v>
      </x:c>
      <x:c r="B114" s="22" t="str">
        <x:v>黄柠檬</x:v>
      </x:c>
      <x:c r="C114" s="22" t="str">
        <x:v>500克/1斤</x:v>
      </x:c>
      <x:c r="D114" s="34" t="str">
        <x:v>6</x:v>
      </x:c>
      <x:c r="E114" s="22" t="str">
        <x:v>斤</x:v>
      </x:c>
      <x:c r="F114" s="34" t="n">
        <x:v>0.8</x:v>
      </x:c>
      <x:c r="G114" s="34" t="n">
        <x:v>4.8</x:v>
      </x:c>
      <x:c r="H114" s="22" t="str">
        <x:v>去籽黄柠檬</x:v>
      </x:c>
      <x:c r="I114" s="36" t="n">
        <x:v>0.86</x:v>
      </x:c>
      <x:c r="J114" s="22" t="str">
        <x:v>高相似待确认</x:v>
      </x:c>
    </x:row>
    <x:row r="115">
      <x:c r="A115" s="22" t="str">
        <x:v>水吧</x:v>
      </x:c>
      <x:c r="B115" s="22" t="str">
        <x:v>海螺片</x:v>
      </x:c>
      <x:c r="C115" s="22" t="str">
        <x:v>40袋/箱</x:v>
      </x:c>
      <x:c r="D115" s="34" t="str">
        <x:v>10.575</x:v>
      </x:c>
      <x:c r="E115" s="22" t="str">
        <x:v>袋</x:v>
      </x:c>
      <x:c r="F115" s="34" t="n">
        <x:v>20</x:v>
      </x:c>
      <x:c r="G115" s="34" t="n">
        <x:v>211.5</x:v>
      </x:c>
      <x:c r="H115" s="22" t="str">
        <x:v>海螺片</x:v>
      </x:c>
      <x:c r="I115" s="36" t="n">
        <x:v>1</x:v>
      </x:c>
      <x:c r="J115" s="22" t="str">
        <x:v>名称一致</x:v>
      </x:c>
    </x:row>
    <x:row r="116">
      <x:c r="A116" s="22" t="str">
        <x:v>水吧</x:v>
      </x:c>
      <x:c r="B116" s="22" t="str">
        <x:v>立体红蘑菇</x:v>
      </x:c>
      <x:c r="C116" s="22" t="str">
        <x:v>18个/件</x:v>
      </x:c>
      <x:c r="D116" s="34" t="str">
        <x:v>2</x:v>
      </x:c>
      <x:c r="E116" s="22" t="str">
        <x:v>个</x:v>
      </x:c>
      <x:c r="F116" s="34" t="n">
        <x:v>6</x:v>
      </x:c>
      <x:c r="G116" s="34" t="n">
        <x:v>12</x:v>
      </x:c>
      <x:c r="H116" s="22" t="str">
        <x:v>红油</x:v>
      </x:c>
      <x:c r="I116" s="36" t="n">
        <x:v>0.2857</x:v>
      </x:c>
      <x:c r="J116" s="22" t="str">
        <x:v>未匹配</x:v>
      </x:c>
    </x:row>
    <x:row r="117">
      <x:c r="A117" s="22" t="str">
        <x:v>水吧</x:v>
      </x:c>
      <x:c r="B117" s="22" t="str">
        <x:v>桂花乌龙</x:v>
      </x:c>
      <x:c r="C117" s="22" t="str">
        <x:v>袋/500g</x:v>
      </x:c>
      <x:c r="D117" s="34" t="str">
        <x:v>82</x:v>
      </x:c>
      <x:c r="E117" s="22" t="str">
        <x:v>袋</x:v>
      </x:c>
      <x:c r="F117" s="34" t="n">
        <x:v>1</x:v>
      </x:c>
      <x:c r="G117" s="34" t="n">
        <x:v>82</x:v>
      </x:c>
      <x:c r="H117" s="22" t="str">
        <x:v>龙爪</x:v>
      </x:c>
      <x:c r="I117" s="36" t="n">
        <x:v>0.3333</x:v>
      </x:c>
      <x:c r="J117" s="22" t="str">
        <x:v>未匹配</x:v>
      </x:c>
    </x:row>
    <x:row r="118">
      <x:c r="A118" s="22" t="str">
        <x:v>水吧</x:v>
      </x:c>
      <x:c r="B118" s="22" t="str">
        <x:v>米布丁</x:v>
      </x:c>
      <x:c r="C118" s="22" t="str">
        <x:v>袋/1000g</x:v>
      </x:c>
      <x:c r="D118" s="34" t="str">
        <x:v>42</x:v>
      </x:c>
      <x:c r="E118" s="22" t="str">
        <x:v>袋</x:v>
      </x:c>
      <x:c r="F118" s="34" t="n">
        <x:v>0</x:v>
      </x:c>
      <x:c r="G118" s="34" t="n">
        <x:v>0</x:v>
      </x:c>
      <x:c r="H118" s="22" t="str">
        <x:v>布丁一个</x:v>
      </x:c>
      <x:c r="I118" s="36" t="n">
        <x:v>0.5714</x:v>
      </x:c>
      <x:c r="J118" s="22" t="str">
        <x:v>未匹配</x:v>
      </x:c>
    </x:row>
    <x:row r="119">
      <x:c r="A119" s="22" t="str">
        <x:v>水吧</x:v>
      </x:c>
      <x:c r="B119" s="22" t="str">
        <x:v>胡萝卜果汁包</x:v>
      </x:c>
      <x:c r="C119" s="22" t="str">
        <x:v>100袋/件</x:v>
      </x:c>
      <x:c r="D119" s="34" t="str">
        <x:v>4.43</x:v>
      </x:c>
      <x:c r="E119" s="22" t="str">
        <x:v>袋</x:v>
      </x:c>
      <x:c r="F119" s="34" t="n">
        <x:v>0</x:v>
      </x:c>
      <x:c r="G119" s="34" t="n">
        <x:v>0</x:v>
      </x:c>
      <x:c r="H119" s="22" t="str">
        <x:v>酸萝卜汁</x:v>
      </x:c>
      <x:c r="I119" s="36" t="n">
        <x:v>0.6</x:v>
      </x:c>
      <x:c r="J119" s="22" t="str">
        <x:v>未匹配</x:v>
      </x:c>
    </x:row>
    <x:row r="120">
      <x:c r="A120" s="22" t="str">
        <x:v>水吧</x:v>
      </x:c>
      <x:c r="B120" s="22" t="str">
        <x:v>青芒酸木瓜果汁包</x:v>
      </x:c>
      <x:c r="C120" s="22" t="str">
        <x:v>170g*80袋</x:v>
      </x:c>
      <x:c r="D120" s="34" t="str">
        <x:v>4.04</x:v>
      </x:c>
      <x:c r="E120" s="22" t="str">
        <x:v>袋</x:v>
      </x:c>
      <x:c r="F120" s="34" t="n">
        <x:v>61</x:v>
      </x:c>
      <x:c r="G120" s="34" t="n">
        <x:v>246.44</x:v>
      </x:c>
      <x:c r="H120" s="22" t="str">
        <x:v>青芒果汁</x:v>
      </x:c>
      <x:c r="I120" s="36" t="n">
        <x:v>0.6667</x:v>
      </x:c>
      <x:c r="J120" s="22" t="str">
        <x:v>未匹配</x:v>
      </x:c>
    </x:row>
    <x:row r="121">
      <x:c r="A121" s="22" t="str">
        <x:v>水吧</x:v>
      </x:c>
      <x:c r="B121" s="22" t="str">
        <x:v>冷冻水蜜桃</x:v>
      </x:c>
      <x:c r="C121" s="22" t="str">
        <x:v>瓶/1000g</x:v>
      </x:c>
      <x:c r="D121" s="34" t="str">
        <x:v>32</x:v>
      </x:c>
      <x:c r="E121" s="22" t="str">
        <x:v>瓶</x:v>
      </x:c>
      <x:c r="F121" s="34" t="n">
        <x:v>6.6</x:v>
      </x:c>
      <x:c r="G121" s="34" t="n">
        <x:v>211.2</x:v>
      </x:c>
      <x:c r="H121" s="22" t="str">
        <x:v>冷冻黄皮果</x:v>
      </x:c>
      <x:c r="I121" s="36" t="n">
        <x:v>0.4</x:v>
      </x:c>
      <x:c r="J121" s="22" t="str">
        <x:v>未匹配</x:v>
      </x:c>
    </x:row>
    <x:row r="122">
      <x:c r="A122" s="22" t="str">
        <x:v>水吧</x:v>
      </x:c>
      <x:c r="B122" s="22" t="str">
        <x:v>常温酸奶</x:v>
      </x:c>
      <x:c r="C122" s="22" t="str">
        <x:v>1.12kg/瓶</x:v>
      </x:c>
      <x:c r="D122" s="34" t="str">
        <x:v>23</x:v>
      </x:c>
      <x:c r="E122" s="22" t="str">
        <x:v>瓶</x:v>
      </x:c>
      <x:c r="F122" s="34" t="n">
        <x:v>2</x:v>
      </x:c>
      <x:c r="G122" s="34" t="n">
        <x:v>46</x:v>
      </x:c>
      <x:c r="H122" s="22" t="str">
        <x:v>酸菜</x:v>
      </x:c>
      <x:c r="I122" s="36" t="n">
        <x:v>0.3333</x:v>
      </x:c>
      <x:c r="J122" s="22" t="str">
        <x:v>未匹配</x:v>
      </x:c>
    </x:row>
    <x:row r="123">
      <x:c r="A123" s="22" t="str">
        <x:v>水吧</x:v>
      </x:c>
      <x:c r="B123" s="22" t="str">
        <x:v>雪雁风味饮品</x:v>
      </x:c>
      <x:c r="C123" s="22" t="str">
        <x:v>袋/500g</x:v>
      </x:c>
      <x:c r="D123" s="34" t="str">
        <x:v>15</x:v>
      </x:c>
      <x:c r="E123" s="22" t="str">
        <x:v>包</x:v>
      </x:c>
      <x:c r="F123" s="34" t="n">
        <x:v>1.2</x:v>
      </x:c>
      <x:c r="G123" s="34" t="n">
        <x:v>18</x:v>
      </x:c>
      <x:c r="H123" s="22" t="str">
        <x:v>味粉</x:v>
      </x:c>
      <x:c r="I123" s="36" t="n">
        <x:v>0.25</x:v>
      </x:c>
      <x:c r="J123" s="22" t="str">
        <x:v>未匹配</x:v>
      </x:c>
    </x:row>
    <x:row r="124">
      <x:c r="A124" s="22" t="str">
        <x:v>水吧</x:v>
      </x:c>
      <x:c r="B124" s="22" t="str">
        <x:v>马蹄爆爆珠</x:v>
      </x:c>
      <x:c r="C124" s="22" t="str">
        <x:v>900g/罐</x:v>
      </x:c>
      <x:c r="D124" s="34" t="str">
        <x:v>19</x:v>
      </x:c>
      <x:c r="E124" s="22" t="str">
        <x:v>罐</x:v>
      </x:c>
      <x:c r="F124" s="34" t="n">
        <x:v>2.8</x:v>
      </x:c>
      <x:c r="G124" s="34" t="n">
        <x:v>53.2</x:v>
      </x:c>
      <x:c r="H124" s="22" t="str">
        <x:v>龙爪</x:v>
      </x:c>
      <x:c r="I124" s="36" t="n">
        <x:v>0</x:v>
      </x:c>
      <x:c r="J124" s="22" t="str">
        <x:v>未匹配</x:v>
      </x:c>
    </x:row>
    <x:row r="125">
      <x:c r="A125" s="22" t="str">
        <x:v>水吧</x:v>
      </x:c>
      <x:c r="B125" s="22" t="str">
        <x:v>开心果酱</x:v>
      </x:c>
      <x:c r="C125" s="22" t="str">
        <x:v>袋/500g</x:v>
      </x:c>
      <x:c r="D125" s="34" t="str">
        <x:v>100</x:v>
      </x:c>
      <x:c r="E125" s="22" t="str">
        <x:v>袋</x:v>
      </x:c>
      <x:c r="F125" s="34" t="n">
        <x:v>1.4</x:v>
      </x:c>
      <x:c r="G125" s="34" t="n">
        <x:v>140</x:v>
      </x:c>
      <x:c r="H125" s="22" t="str">
        <x:v>蓝莓果酱</x:v>
      </x:c>
      <x:c r="I125" s="36" t="n">
        <x:v>0.5</x:v>
      </x:c>
      <x:c r="J125" s="22" t="str">
        <x:v>未匹配</x:v>
      </x:c>
    </x:row>
    <x:row r="126">
      <x:c r="A126" s="22" t="str">
        <x:v>水吧</x:v>
      </x:c>
      <x:c r="B126" s="22" t="str">
        <x:v>椰皇水</x:v>
      </x:c>
      <x:c r="C126" s="22" t="str">
        <x:v>1L/盒</x:v>
      </x:c>
      <x:c r="D126" s="34" t="str">
        <x:v>16.5</x:v>
      </x:c>
      <x:c r="E126" s="22" t="str">
        <x:v>盒</x:v>
      </x:c>
      <x:c r="F126" s="34" t="n">
        <x:v>3</x:v>
      </x:c>
      <x:c r="G126" s="34" t="n">
        <x:v>49.5</x:v>
      </x:c>
      <x:c r="H126" s="22" t="str">
        <x:v>蒜水</x:v>
      </x:c>
      <x:c r="I126" s="36" t="n">
        <x:v>0.4</x:v>
      </x:c>
      <x:c r="J126" s="22" t="str">
        <x:v>未匹配</x:v>
      </x:c>
    </x:row>
    <x:row r="127">
      <x:c r="A127" s="22" t="str">
        <x:v>水吧</x:v>
      </x:c>
      <x:c r="B127" s="22" t="str">
        <x:v>冷冻茉莉奶绿</x:v>
      </x:c>
      <x:c r="C127" s="22" t="str">
        <x:v>箱/80袋/200g</x:v>
      </x:c>
      <x:c r="D127" s="34" t="str">
        <x:v>4.4</x:v>
      </x:c>
      <x:c r="E127" s="22" t="str">
        <x:v>袋</x:v>
      </x:c>
      <x:c r="F127" s="34" t="n">
        <x:v>36</x:v>
      </x:c>
      <x:c r="G127" s="34" t="n">
        <x:v>158.4</x:v>
      </x:c>
      <x:c r="H127" s="22" t="str">
        <x:v>茉莉绿茶</x:v>
      </x:c>
      <x:c r="I127" s="36" t="n">
        <x:v>0.6</x:v>
      </x:c>
      <x:c r="J127" s="22" t="str">
        <x:v>未匹配</x:v>
      </x:c>
    </x:row>
    <x:row r="128">
      <x:c r="A128" s="22" t="str">
        <x:v>水吧</x:v>
      </x:c>
      <x:c r="B128" s="22" t="str">
        <x:v>甜心芭乐柠果汁包</x:v>
      </x:c>
      <x:c r="C128" s="22" t="str">
        <x:v>箱/80袋/200g</x:v>
      </x:c>
      <x:c r="D128" s="34" t="str">
        <x:v>4.3</x:v>
      </x:c>
      <x:c r="E128" s="22" t="str">
        <x:v>袋</x:v>
      </x:c>
      <x:c r="F128" s="34" t="n">
        <x:v>57</x:v>
      </x:c>
      <x:c r="G128" s="34" t="n">
        <x:v>245.1</x:v>
      </x:c>
      <x:c r="H128" s="22" t="str">
        <x:v>芭乐</x:v>
      </x:c>
      <x:c r="I128" s="36" t="n">
        <x:v>0.79</x:v>
      </x:c>
      <x:c r="J128" s="22" t="str">
        <x:v>可能匹配待确认</x:v>
      </x:c>
    </x:row>
    <x:row r="129">
      <x:c r="A129" s="22" t="str">
        <x:v>水吧</x:v>
      </x:c>
      <x:c r="B129" s="22" t="str">
        <x:v>羽衣甘蓝果汁包</x:v>
      </x:c>
      <x:c r="C129" s="22" t="str">
        <x:v>箱/150g/100袋</x:v>
      </x:c>
      <x:c r="D129" s="34" t="str">
        <x:v>4</x:v>
      </x:c>
      <x:c r="E129" s="22" t="str">
        <x:v>袋</x:v>
      </x:c>
      <x:c r="F129" s="34" t="n">
        <x:v>115</x:v>
      </x:c>
      <x:c r="G129" s="34" t="n">
        <x:v>460</x:v>
      </x:c>
      <x:c r="H129" s="22" t="str">
        <x:v>羽衣甘蓝叶子</x:v>
      </x:c>
      <x:c r="I129" s="36" t="n">
        <x:v>0.6154</x:v>
      </x:c>
      <x:c r="J129" s="22" t="str">
        <x:v>未匹配</x:v>
      </x:c>
    </x:row>
    <x:row r="130">
      <x:c r="A130" s="22" t="str">
        <x:v>水吧</x:v>
      </x:c>
      <x:c r="B130" s="22" t="str">
        <x:v>喷射奶油</x:v>
      </x:c>
      <x:c r="C130" s="22" t="str"/>
      <x:c r="D130" s="34" t="str">
        <x:v>45</x:v>
      </x:c>
      <x:c r="E130" s="22" t="str">
        <x:v>个</x:v>
      </x:c>
      <x:c r="F130" s="34" t="n">
        <x:v>0.5</x:v>
      </x:c>
      <x:c r="G130" s="34" t="n">
        <x:v>22.5</x:v>
      </x:c>
      <x:c r="H130" s="22" t="str">
        <x:v>红油</x:v>
      </x:c>
      <x:c r="I130" s="36" t="n">
        <x:v>0.3333</x:v>
      </x:c>
      <x:c r="J130" s="22" t="str">
        <x:v>未匹配</x:v>
      </x:c>
    </x:row>
    <x:row r="131">
      <x:c r="A131" s="22" t="str">
        <x:v>水吧</x:v>
      </x:c>
      <x:c r="B131" s="22" t="str">
        <x:v>开心果粉</x:v>
      </x:c>
      <x:c r="C131" s="22" t="str">
        <x:v>袋/250g</x:v>
      </x:c>
      <x:c r="D131" s="34" t="str">
        <x:v>34</x:v>
      </x:c>
      <x:c r="E131" s="22" t="str">
        <x:v>袋</x:v>
      </x:c>
      <x:c r="F131" s="34" t="n">
        <x:v>0.7</x:v>
      </x:c>
      <x:c r="G131" s="34" t="n">
        <x:v>23.8</x:v>
      </x:c>
      <x:c r="H131" s="22" t="str">
        <x:v>开水</x:v>
      </x:c>
      <x:c r="I131" s="36" t="n">
        <x:v>0.3333</x:v>
      </x:c>
      <x:c r="J131" s="22" t="str">
        <x:v>未匹配</x:v>
      </x:c>
    </x:row>
    <x:row r="132">
      <x:c r="A132" s="22" t="str">
        <x:v>水吧</x:v>
      </x:c>
      <x:c r="B132" s="22" t="str">
        <x:v>白凉粉</x:v>
      </x:c>
      <x:c r="C132" s="22" t="str">
        <x:v>500g/袋</x:v>
      </x:c>
      <x:c r="D132" s="34" t="str">
        <x:v>5.5</x:v>
      </x:c>
      <x:c r="E132" s="22" t="str">
        <x:v>袋</x:v>
      </x:c>
      <x:c r="F132" s="34" t="n">
        <x:v>0</x:v>
      </x:c>
      <x:c r="G132" s="34" t="n">
        <x:v>0</x:v>
      </x:c>
      <x:c r="H132" s="22" t="str">
        <x:v>白醋</x:v>
      </x:c>
      <x:c r="I132" s="36" t="n">
        <x:v>0.4</x:v>
      </x:c>
      <x:c r="J132" s="22" t="str">
        <x:v>未匹配</x:v>
      </x:c>
    </x:row>
    <x:row r="133">
      <x:c r="A133" s="22" t="str">
        <x:v>水吧</x:v>
      </x:c>
      <x:c r="B133" s="22" t="str">
        <x:v>去骨鸡爪</x:v>
      </x:c>
      <x:c r="C133" s="22" t="str">
        <x:v>件/20斤</x:v>
      </x:c>
      <x:c r="D133" s="34" t="str">
        <x:v>7.75</x:v>
      </x:c>
      <x:c r="E133" s="22" t="str">
        <x:v>斤</x:v>
      </x:c>
      <x:c r="F133" s="34" t="n">
        <x:v>6.8</x:v>
      </x:c>
      <x:c r="G133" s="34" t="n">
        <x:v>52.7</x:v>
      </x:c>
      <x:c r="H133" s="22" t="str">
        <x:v>鸡爪</x:v>
      </x:c>
      <x:c r="I133" s="36" t="n">
        <x:v>0.84</x:v>
      </x:c>
      <x:c r="J133" s="22" t="str">
        <x:v>可能匹配待确认</x:v>
      </x:c>
    </x:row>
    <x:row r="134">
      <x:c r="A134" s="22" t="str">
        <x:v>素菜岗</x:v>
      </x:c>
      <x:c r="B134" s="22" t="str">
        <x:v>姜柄瓜</x:v>
      </x:c>
      <x:c r="C134" s="22" t="str">
        <x:v>件/500g</x:v>
      </x:c>
      <x:c r="D134" s="34" t="str">
        <x:v>7.5</x:v>
      </x:c>
      <x:c r="E134" s="22" t="str">
        <x:v>斤</x:v>
      </x:c>
      <x:c r="F134" s="34" t="n">
        <x:v>7.7</x:v>
      </x:c>
      <x:c r="G134" s="34" t="n">
        <x:v>57.75</x:v>
      </x:c>
      <x:c r="H134" s="22" t="str">
        <x:v>姜柄瓜</x:v>
      </x:c>
      <x:c r="I134" s="36" t="n">
        <x:v>1</x:v>
      </x:c>
      <x:c r="J134" s="22" t="str">
        <x:v>名称一致</x:v>
      </x:c>
    </x:row>
    <x:row r="135">
      <x:c r="A135" s="22" t="str">
        <x:v>素菜岗</x:v>
      </x:c>
      <x:c r="B135" s="22" t="str">
        <x:v>白米线</x:v>
      </x:c>
      <x:c r="C135" s="22" t="str">
        <x:v>25斤/1箱</x:v>
      </x:c>
      <x:c r="D135" s="34" t="str">
        <x:v>8.76</x:v>
      </x:c>
      <x:c r="E135" s="22" t="str">
        <x:v>斤</x:v>
      </x:c>
      <x:c r="F135" s="34" t="n">
        <x:v>38</x:v>
      </x:c>
      <x:c r="G135" s="34" t="n">
        <x:v>332.88</x:v>
      </x:c>
      <x:c r="H135" s="22" t="str">
        <x:v>米线</x:v>
      </x:c>
      <x:c r="I135" s="36" t="n">
        <x:v>0.8733</x:v>
      </x:c>
      <x:c r="J135" s="22" t="str">
        <x:v>高相似待确认</x:v>
      </x:c>
    </x:row>
    <x:row r="136">
      <x:c r="A136" s="22" t="str">
        <x:v>素菜岗</x:v>
      </x:c>
      <x:c r="B136" s="22" t="str">
        <x:v>云南豆腐皮</x:v>
      </x:c>
      <x:c r="C136" s="22" t="str">
        <x:v>箱/10斤/500g</x:v>
      </x:c>
      <x:c r="D136" s="34" t="str">
        <x:v>8.8</x:v>
      </x:c>
      <x:c r="E136" s="22" t="str">
        <x:v>斤</x:v>
      </x:c>
      <x:c r="F136" s="34" t="n">
        <x:v>7.6</x:v>
      </x:c>
      <x:c r="G136" s="34" t="n">
        <x:v>66.88</x:v>
      </x:c>
      <x:c r="H136" s="22" t="str">
        <x:v>豆腐皮</x:v>
      </x:c>
      <x:c r="I136" s="36" t="n">
        <x:v>0.86</x:v>
      </x:c>
      <x:c r="J136" s="22" t="str">
        <x:v>高相似待确认</x:v>
      </x:c>
    </x:row>
    <x:row r="137">
      <x:c r="A137" s="22" t="str">
        <x:v>素菜岗</x:v>
      </x:c>
      <x:c r="B137" s="22" t="str">
        <x:v>包浆豆腐（大）</x:v>
      </x:c>
      <x:c r="C137" s="22" t="str">
        <x:v>箱/18包/520g</x:v>
      </x:c>
      <x:c r="D137" s="34" t="str">
        <x:v>10.83</x:v>
      </x:c>
      <x:c r="E137" s="22" t="str">
        <x:v>包</x:v>
      </x:c>
      <x:c r="F137" s="34" t="n">
        <x:v>27</x:v>
      </x:c>
      <x:c r="G137" s="34" t="n">
        <x:v>292.41</x:v>
      </x:c>
      <x:c r="H137" s="22" t="str">
        <x:v>包浆豆腐</x:v>
      </x:c>
      <x:c r="I137" s="36" t="n">
        <x:v>0.9</x:v>
      </x:c>
      <x:c r="J137" s="22" t="str">
        <x:v>高相似待确认</x:v>
      </x:c>
    </x:row>
    <x:row r="138">
      <x:c r="A138" s="22" t="str">
        <x:v>素菜岗</x:v>
      </x:c>
      <x:c r="B138" s="22" t="str">
        <x:v>鞭炮笋</x:v>
      </x:c>
      <x:c r="C138" s="22" t="str">
        <x:v>箱/20袋/500g</x:v>
      </x:c>
      <x:c r="D138" s="34" t="str">
        <x:v>10.5</x:v>
      </x:c>
      <x:c r="E138" s="22" t="str">
        <x:v>袋</x:v>
      </x:c>
      <x:c r="F138" s="34" t="str">
        <x:v>7</x:v>
      </x:c>
      <x:c r="G138" s="34" t="n">
        <x:v>73.5</x:v>
      </x:c>
      <x:c r="H138" s="22" t="str">
        <x:v>嫩笋</x:v>
      </x:c>
      <x:c r="I138" s="36" t="n">
        <x:v>0.4</x:v>
      </x:c>
      <x:c r="J138" s="22" t="str">
        <x:v>未匹配</x:v>
      </x:c>
    </x:row>
    <x:row r="139">
      <x:c r="A139" s="22" t="str">
        <x:v>素菜岗</x:v>
      </x:c>
      <x:c r="B139" s="22" t="str">
        <x:v>东川三色面</x:v>
      </x:c>
      <x:c r="C139" s="22" t="str">
        <x:v>210g/30袋/箱</x:v>
      </x:c>
      <x:c r="D139" s="34" t="str">
        <x:v>6.16</x:v>
      </x:c>
      <x:c r="E139" s="22" t="str">
        <x:v>袋</x:v>
      </x:c>
      <x:c r="F139" s="34" t="n">
        <x:v>39</x:v>
      </x:c>
      <x:c r="G139" s="34" t="n">
        <x:v>240.24</x:v>
      </x:c>
      <x:c r="H139" s="22" t="str">
        <x:v>龙爪</x:v>
      </x:c>
      <x:c r="I139" s="36" t="n">
        <x:v>0</x:v>
      </x:c>
      <x:c r="J139" s="22" t="str">
        <x:v>未匹配</x:v>
      </x:c>
    </x:row>
    <x:row r="140">
      <x:c r="A140" s="22" t="str">
        <x:v>素菜岗</x:v>
      </x:c>
      <x:c r="B140" s="22" t="str">
        <x:v>特级信威贡菜</x:v>
      </x:c>
      <x:c r="C140" s="22" t="str">
        <x:v>箱/10斤/500g</x:v>
      </x:c>
      <x:c r="D140" s="34" t="str">
        <x:v>27.5</x:v>
      </x:c>
      <x:c r="E140" s="22" t="str">
        <x:v>斤</x:v>
      </x:c>
      <x:c r="F140" s="34" t="n">
        <x:v>8.9</x:v>
      </x:c>
      <x:c r="G140" s="34" t="n">
        <x:v>244.75</x:v>
      </x:c>
      <x:c r="H140" s="22" t="str">
        <x:v>贡菜</x:v>
      </x:c>
      <x:c r="I140" s="36" t="n">
        <x:v>0.8067</x:v>
      </x:c>
      <x:c r="J140" s="22" t="str">
        <x:v>可能匹配待确认</x:v>
      </x:c>
    </x:row>
    <x:row r="141">
      <x:c r="A141" s="22" t="str">
        <x:v>素菜岗</x:v>
      </x:c>
      <x:c r="B141" s="22" t="str">
        <x:v>玉米笋</x:v>
      </x:c>
      <x:c r="C141" s="22" t="str">
        <x:v>箱/20袋/500g</x:v>
      </x:c>
      <x:c r="D141" s="34" t="str">
        <x:v>12.6</x:v>
      </x:c>
      <x:c r="E141" s="22" t="str">
        <x:v>袋</x:v>
      </x:c>
      <x:c r="F141" s="34" t="n">
        <x:v>0</x:v>
      </x:c>
      <x:c r="G141" s="34" t="n">
        <x:v>0</x:v>
      </x:c>
      <x:c r="H141" s="22" t="str">
        <x:v>米饭</x:v>
      </x:c>
      <x:c r="I141" s="36" t="n">
        <x:v>0.4</x:v>
      </x:c>
      <x:c r="J141" s="22" t="str">
        <x:v>未匹配</x:v>
      </x:c>
    </x:row>
    <x:row r="142">
      <x:c r="A142" s="22" t="str">
        <x:v>素菜岗</x:v>
      </x:c>
      <x:c r="B142" s="22" t="str">
        <x:v>手剥笋</x:v>
      </x:c>
      <x:c r="C142" s="22" t="str">
        <x:v>5KG/箱</x:v>
      </x:c>
      <x:c r="D142" s="34" t="str">
        <x:v>15.3</x:v>
      </x:c>
      <x:c r="E142" s="22" t="str">
        <x:v>斤</x:v>
      </x:c>
      <x:c r="F142" s="34" t="n">
        <x:v>2.5</x:v>
      </x:c>
      <x:c r="G142" s="34" t="n">
        <x:v>38.25</x:v>
      </x:c>
      <x:c r="H142" s="22" t="str">
        <x:v>嫩笋</x:v>
      </x:c>
      <x:c r="I142" s="36" t="n">
        <x:v>0.4</x:v>
      </x:c>
      <x:c r="J142" s="22" t="str">
        <x:v>未匹配</x:v>
      </x:c>
    </x:row>
    <x:row r="143">
      <x:c r="A143" s="22" t="str">
        <x:v>素菜岗</x:v>
      </x:c>
      <x:c r="B143" s="22" t="str">
        <x:v>饵块</x:v>
      </x:c>
      <x:c r="C143" s="22" t="str">
        <x:v>包/1000g</x:v>
      </x:c>
      <x:c r="D143" s="34" t="str">
        <x:v>8.5</x:v>
      </x:c>
      <x:c r="E143" s="22" t="str">
        <x:v>包</x:v>
      </x:c>
      <x:c r="F143" s="34" t="n">
        <x:v>0</x:v>
      </x:c>
      <x:c r="G143" s="34" t="n">
        <x:v>0</x:v>
      </x:c>
      <x:c r="H143" s="22" t="str">
        <x:v>饵块</x:v>
      </x:c>
      <x:c r="I143" s="36" t="n">
        <x:v>1</x:v>
      </x:c>
      <x:c r="J143" s="22" t="str">
        <x:v>名称一致</x:v>
      </x:c>
    </x:row>
    <x:row r="144">
      <x:c r="A144" s="22" t="str">
        <x:v>素菜岗</x:v>
      </x:c>
      <x:c r="B144" s="22" t="str">
        <x:v>黑豆花</x:v>
      </x:c>
      <x:c r="C144" s="22" t="str">
        <x:v>箱/32盒/400g</x:v>
      </x:c>
      <x:c r="D144" s="34" t="str">
        <x:v>6.90</x:v>
      </x:c>
      <x:c r="E144" s="22" t="str">
        <x:v>盒</x:v>
      </x:c>
      <x:c r="F144" s="34" t="n">
        <x:v>37</x:v>
      </x:c>
      <x:c r="G144" s="34" t="n">
        <x:v>255.3</x:v>
      </x:c>
      <x:c r="H144" s="22" t="str">
        <x:v>黑豆花</x:v>
      </x:c>
      <x:c r="I144" s="36" t="n">
        <x:v>1</x:v>
      </x:c>
      <x:c r="J144" s="22" t="str">
        <x:v>名称一致</x:v>
      </x:c>
    </x:row>
    <x:row r="145">
      <x:c r="A145" s="22" t="str">
        <x:v>素菜岗</x:v>
      </x:c>
      <x:c r="B145" s="22" t="str">
        <x:v>水性杨花</x:v>
      </x:c>
      <x:c r="C145" s="22" t="str">
        <x:v>500g/斤</x:v>
      </x:c>
      <x:c r="D145" s="34" t="n">
        <x:v>27</x:v>
      </x:c>
      <x:c r="E145" s="22" t="str">
        <x:v>斤</x:v>
      </x:c>
      <x:c r="F145" s="34" t="n">
        <x:v>0.5</x:v>
      </x:c>
      <x:c r="G145" s="34" t="n">
        <x:v>13.5</x:v>
      </x:c>
      <x:c r="H145" s="22" t="str">
        <x:v>水性杨花</x:v>
      </x:c>
      <x:c r="I145" s="36" t="n">
        <x:v>1</x:v>
      </x:c>
      <x:c r="J145" s="22" t="str">
        <x:v>名称一致</x:v>
      </x:c>
    </x:row>
    <x:row r="146">
      <x:c r="A146" s="22" t="str">
        <x:v>前厅调料</x:v>
      </x:c>
      <x:c r="B146" s="22" t="str">
        <x:v>古法汁·滇界专用</x:v>
      </x:c>
      <x:c r="C146" s="22" t="str">
        <x:v>箱/8袋/2000g</x:v>
      </x:c>
      <x:c r="D146" s="34" t="str">
        <x:v>40.625</x:v>
      </x:c>
      <x:c r="E146" s="22" t="str">
        <x:v>袋</x:v>
      </x:c>
      <x:c r="F146" s="34" t="n">
        <x:v>0</x:v>
      </x:c>
      <x:c r="G146" s="34" t="n">
        <x:v>0</x:v>
      </x:c>
      <x:c r="H146" s="22" t="str">
        <x:v>黄皮汁</x:v>
      </x:c>
      <x:c r="I146" s="36" t="n">
        <x:v>0.2</x:v>
      </x:c>
      <x:c r="J146" s="22" t="str">
        <x:v>未匹配</x:v>
      </x:c>
    </x:row>
    <x:row r="147">
      <x:c r="A147" s="22" t="str">
        <x:v>前厅调料</x:v>
      </x:c>
      <x:c r="B147" s="22" t="str">
        <x:v>腐乳酱</x:v>
      </x:c>
      <x:c r="C147" s="22" t="str">
        <x:v>箱/2kg*8袋</x:v>
      </x:c>
      <x:c r="D147" s="34" t="str">
        <x:v>21.5</x:v>
      </x:c>
      <x:c r="E147" s="22" t="str">
        <x:v>袋</x:v>
      </x:c>
      <x:c r="F147" s="34" t="n">
        <x:v>0</x:v>
      </x:c>
      <x:c r="G147" s="34" t="n">
        <x:v>0</x:v>
      </x:c>
      <x:c r="H147" s="22" t="str">
        <x:v>豆腐</x:v>
      </x:c>
      <x:c r="I147" s="36" t="n">
        <x:v>0.4</x:v>
      </x:c>
      <x:c r="J147" s="22" t="str">
        <x:v>未匹配</x:v>
      </x:c>
    </x:row>
    <x:row r="148">
      <x:c r="A148" s="22" t="str">
        <x:v>前厅调料</x:v>
      </x:c>
      <x:c r="B148" s="22" t="str">
        <x:v>李锦记生抽</x:v>
      </x:c>
      <x:c r="C148" s="22" t="str">
        <x:v>5L</x:v>
      </x:c>
      <x:c r="D148" s="34" t="str">
        <x:v>45</x:v>
      </x:c>
      <x:c r="E148" s="22" t="str">
        <x:v>桶</x:v>
      </x:c>
      <x:c r="F148" s="34" t="n">
        <x:v>0</x:v>
      </x:c>
      <x:c r="G148" s="34" t="n">
        <x:v>0</x:v>
      </x:c>
      <x:c r="H148" s="22" t="str">
        <x:v>生抽</x:v>
      </x:c>
      <x:c r="I148" s="36" t="n">
        <x:v>0.82</x:v>
      </x:c>
      <x:c r="J148" s="22" t="str">
        <x:v>可能匹配待确认</x:v>
      </x:c>
    </x:row>
    <x:row r="149">
      <x:c r="A149" s="22" t="str">
        <x:v>前厅调料</x:v>
      </x:c>
      <x:c r="B149" s="22" t="str">
        <x:v>味香蘸料·滇界专用</x:v>
      </x:c>
      <x:c r="C149" s="22" t="str">
        <x:v>箱/6件/2500g</x:v>
      </x:c>
      <x:c r="D149" s="34" t="str">
        <x:v>88.5</x:v>
      </x:c>
      <x:c r="E149" s="22" t="str">
        <x:v>袋</x:v>
      </x:c>
      <x:c r="F149" s="34" t="n">
        <x:v>5</x:v>
      </x:c>
      <x:c r="G149" s="34" t="n">
        <x:v>442.5</x:v>
      </x:c>
      <x:c r="H149" s="22" t="str">
        <x:v>香薰</x:v>
      </x:c>
      <x:c r="I149" s="36" t="n">
        <x:v>0.2</x:v>
      </x:c>
      <x:c r="J149" s="22" t="str">
        <x:v>未匹配</x:v>
      </x:c>
    </x:row>
    <x:row r="150">
      <x:c r="A150" s="22" t="str">
        <x:v>前厅调料</x:v>
      </x:c>
      <x:c r="B150" s="22" t="str">
        <x:v>沙葱酱·滇界专用</x:v>
      </x:c>
      <x:c r="C150" s="22" t="str">
        <x:v>件/25斤/500g</x:v>
      </x:c>
      <x:c r="D150" s="34" t="str">
        <x:v>16.1</x:v>
      </x:c>
      <x:c r="E150" s="22" t="str">
        <x:v>斤</x:v>
      </x:c>
      <x:c r="F150" s="34" t="n">
        <x:v>41</x:v>
      </x:c>
      <x:c r="G150" s="34" t="n">
        <x:v>660.1</x:v>
      </x:c>
      <x:c r="H150" s="22" t="str">
        <x:v>洋葱</x:v>
      </x:c>
      <x:c r="I150" s="36" t="n">
        <x:v>0.2222</x:v>
      </x:c>
      <x:c r="J150" s="22" t="str">
        <x:v>未匹配</x:v>
      </x:c>
    </x:row>
    <x:row r="151">
      <x:c r="A151" s="22" t="str">
        <x:v>前厅调料</x:v>
      </x:c>
      <x:c r="B151" s="22" t="str">
        <x:v>牛肉酱·滇界专用</x:v>
      </x:c>
      <x:c r="C151" s="22" t="str">
        <x:v>箱/8件/2000g</x:v>
      </x:c>
      <x:c r="D151" s="34" t="str">
        <x:v>65.62</x:v>
      </x:c>
      <x:c r="E151" s="22" t="str">
        <x:v>袋</x:v>
      </x:c>
      <x:c r="F151" s="34" t="n">
        <x:v>0</x:v>
      </x:c>
      <x:c r="G151" s="34" t="n">
        <x:v>0</x:v>
      </x:c>
      <x:c r="H151" s="22" t="str">
        <x:v>牛肉丸</x:v>
      </x:c>
      <x:c r="I151" s="36" t="n">
        <x:v>0.4</x:v>
      </x:c>
      <x:c r="J151" s="22" t="str">
        <x:v>未匹配</x:v>
      </x:c>
    </x:row>
    <x:row r="152">
      <x:c r="A152" s="22" t="str">
        <x:v>前厅调料</x:v>
      </x:c>
      <x:c r="B152" s="22" t="str">
        <x:v>芝麻酱</x:v>
      </x:c>
      <x:c r="C152" s="22" t="str">
        <x:v>箱/2.5kg*8</x:v>
      </x:c>
      <x:c r="D152" s="34" t="str">
        <x:v>41.25</x:v>
      </x:c>
      <x:c r="E152" s="22" t="str">
        <x:v>袋</x:v>
      </x:c>
      <x:c r="F152" s="34" t="n">
        <x:v>12</x:v>
      </x:c>
      <x:c r="G152" s="34" t="n">
        <x:v>495</x:v>
      </x:c>
      <x:c r="H152" s="22" t="str">
        <x:v>蓝莓果酱</x:v>
      </x:c>
      <x:c r="I152" s="36" t="n">
        <x:v>0.2857</x:v>
      </x:c>
      <x:c r="J152" s="22" t="str">
        <x:v>未匹配</x:v>
      </x:c>
    </x:row>
    <x:row r="153">
      <x:c r="A153" s="22" t="str">
        <x:v>前厅调料</x:v>
      </x:c>
      <x:c r="B153" s="22" t="str">
        <x:v>菌菇酱·滇界专用</x:v>
      </x:c>
      <x:c r="C153" s="22" t="str">
        <x:v>箱/8件/2000g</x:v>
      </x:c>
      <x:c r="D153" s="34" t="str">
        <x:v>53.75</x:v>
      </x:c>
      <x:c r="E153" s="22" t="str">
        <x:v>件</x:v>
      </x:c>
      <x:c r="F153" s="34" t="n">
        <x:v>6</x:v>
      </x:c>
      <x:c r="G153" s="34" t="n">
        <x:v>322.5</x:v>
      </x:c>
      <x:c r="H153" s="22" t="str">
        <x:v>菌菇鸡汤酱</x:v>
      </x:c>
      <x:c r="I153" s="36" t="n">
        <x:v>0.5</x:v>
      </x:c>
      <x:c r="J153" s="22" t="str">
        <x:v>未匹配</x:v>
      </x:c>
    </x:row>
    <x:row r="154">
      <x:c r="A154" s="22" t="str">
        <x:v>前厅调料</x:v>
      </x:c>
      <x:c r="B154" s="22" t="str">
        <x:v>菌菇鸡汤酱</x:v>
      </x:c>
      <x:c r="C154" s="22" t="str">
        <x:v>2kg/8包/箱</x:v>
      </x:c>
      <x:c r="D154" s="34" t="str">
        <x:v>58.5</x:v>
      </x:c>
      <x:c r="E154" s="22" t="str">
        <x:v>包</x:v>
      </x:c>
      <x:c r="F154" s="34" t="n">
        <x:v>13</x:v>
      </x:c>
      <x:c r="G154" s="34" t="n">
        <x:v>760.5</x:v>
      </x:c>
      <x:c r="H154" s="22" t="str">
        <x:v>菌菇鸡汤酱</x:v>
      </x:c>
      <x:c r="I154" s="36" t="n">
        <x:v>1</x:v>
      </x:c>
      <x:c r="J154" s="22" t="str">
        <x:v>名称一致</x:v>
      </x:c>
    </x:row>
    <x:row r="155">
      <x:c r="A155" s="22" t="str">
        <x:v>前厅调料</x:v>
      </x:c>
      <x:c r="B155" s="22" t="str">
        <x:v>香辣蘸料·滇界专用</x:v>
      </x:c>
      <x:c r="C155" s="22" t="str">
        <x:v>箱/8袋/2000g</x:v>
      </x:c>
      <x:c r="D155" s="34" t="str">
        <x:v>93.75</x:v>
      </x:c>
      <x:c r="E155" s="22" t="str">
        <x:v>包</x:v>
      </x:c>
      <x:c r="F155" s="34" t="n">
        <x:v>4</x:v>
      </x:c>
      <x:c r="G155" s="34" t="n">
        <x:v>375</x:v>
      </x:c>
      <x:c r="H155" s="22" t="str">
        <x:v>香薰</x:v>
      </x:c>
      <x:c r="I155" s="36" t="n">
        <x:v>0.2</x:v>
      </x:c>
      <x:c r="J155" s="22" t="str">
        <x:v>未匹配</x:v>
      </x:c>
    </x:row>
    <x:row r="156">
      <x:c r="A156" s="22" t="str">
        <x:v>前厅调料</x:v>
      </x:c>
      <x:c r="B156" s="22" t="str">
        <x:v>沙茶酱</x:v>
      </x:c>
      <x:c r="C156" s="22" t="str">
        <x:v>2kg*8/箱</x:v>
      </x:c>
      <x:c r="D156" s="34" t="str">
        <x:v>73.75</x:v>
      </x:c>
      <x:c r="E156" s="22" t="str">
        <x:v>袋</x:v>
      </x:c>
      <x:c r="F156" s="34" t="n">
        <x:v>3</x:v>
      </x:c>
      <x:c r="G156" s="34" t="n">
        <x:v>221.25</x:v>
      </x:c>
      <x:c r="H156" s="22" t="str">
        <x:v>蓝莓果酱</x:v>
      </x:c>
      <x:c r="I156" s="36" t="n">
        <x:v>0.2857</x:v>
      </x:c>
      <x:c r="J156" s="22" t="str">
        <x:v>未匹配</x:v>
      </x:c>
    </x:row>
    <x:row r="157">
      <x:c r="A157" s="22" t="str">
        <x:v>前厅调料</x:v>
      </x:c>
      <x:c r="B157" s="22" t="str">
        <x:v>纸巾</x:v>
      </x:c>
      <x:c r="C157" s="22" t="str">
        <x:v>500盒/箱</x:v>
      </x:c>
      <x:c r="D157" s="34" t="n">
        <x:v>0.35</x:v>
      </x:c>
      <x:c r="E157" s="22" t="str">
        <x:v>盒</x:v>
      </x:c>
      <x:c r="F157" s="34" t="n">
        <x:v>210</x:v>
      </x:c>
      <x:c r="G157" s="34" t="n">
        <x:v>73.5</x:v>
      </x:c>
      <x:c r="H157" s="22" t="str">
        <x:v>龙爪</x:v>
      </x:c>
      <x:c r="I157" s="36" t="n">
        <x:v>0</x:v>
      </x:c>
      <x:c r="J157" s="22" t="str">
        <x:v>未匹配</x:v>
      </x:c>
    </x:row>
    <x:row r="158">
      <x:c r="A158" s="22" t="str">
        <x:v>前厅调料</x:v>
      </x:c>
      <x:c r="B158" s="22" t="str">
        <x:v>红乌苏</x:v>
      </x:c>
      <x:c r="C158" s="22" t="str">
        <x:v>12瓶/件</x:v>
      </x:c>
      <x:c r="D158" s="34" t="str">
        <x:v>6.66</x:v>
      </x:c>
      <x:c r="E158" s="22" t="str">
        <x:v>瓶</x:v>
      </x:c>
      <x:c r="F158" s="34" t="n">
        <x:v>0</x:v>
      </x:c>
      <x:c r="G158" s="34" t="n">
        <x:v>0</x:v>
      </x:c>
      <x:c r="H158" s="22" t="str">
        <x:v>红油</x:v>
      </x:c>
      <x:c r="I158" s="36" t="n">
        <x:v>0.4</x:v>
      </x:c>
      <x:c r="J158" s="22" t="str">
        <x:v>未匹配</x:v>
      </x:c>
    </x:row>
    <x:row r="159">
      <x:c r="A159" s="22" t="str">
        <x:v>前厅调料</x:v>
      </x:c>
      <x:c r="B159" s="22" t="str">
        <x:v>黄乌苏</x:v>
      </x:c>
      <x:c r="C159" s="22" t="str">
        <x:v>13瓶/件</x:v>
      </x:c>
      <x:c r="D159" s="34" t="str">
        <x:v>6.25</x:v>
      </x:c>
      <x:c r="E159" s="22" t="str">
        <x:v>瓶</x:v>
      </x:c>
      <x:c r="F159" s="34" t="n">
        <x:v>0</x:v>
      </x:c>
      <x:c r="G159" s="34" t="n">
        <x:v>0</x:v>
      </x:c>
      <x:c r="H159" s="22" t="str">
        <x:v>黄喉</x:v>
      </x:c>
      <x:c r="I159" s="36" t="n">
        <x:v>0.4</x:v>
      </x:c>
      <x:c r="J159" s="22" t="str">
        <x:v>未匹配</x:v>
      </x:c>
    </x:row>
    <x:row r="160">
      <x:c r="A160" s="22" t="str">
        <x:v>前厅调料</x:v>
      </x:c>
      <x:c r="B160" s="22" t="str">
        <x:v>罐装乌苏</x:v>
      </x:c>
      <x:c r="C160" s="22" t="str">
        <x:v>6罐/1L</x:v>
      </x:c>
      <x:c r="D160" s="34" t="str">
        <x:v>14.16</x:v>
      </x:c>
      <x:c r="E160" s="22" t="str">
        <x:v>罐</x:v>
      </x:c>
      <x:c r="F160" s="34" t="n">
        <x:v>0</x:v>
      </x:c>
      <x:c r="G160" s="34" t="n">
        <x:v>0</x:v>
      </x:c>
      <x:c r="H160" s="22" t="str">
        <x:v>蓝莓装饰</x:v>
      </x:c>
      <x:c r="I160" s="36" t="n">
        <x:v>0.25</x:v>
      </x:c>
      <x:c r="J160" s="22" t="str">
        <x:v>未匹配</x:v>
      </x:c>
    </x:row>
    <x:row r="161">
      <x:c r="A161" s="22" t="str">
        <x:v>前厅调料</x:v>
      </x:c>
      <x:c r="B161" s="22" t="str">
        <x:v>可乐摩登罐</x:v>
      </x:c>
      <x:c r="C161" s="22" t="str">
        <x:v>件/24罐</x:v>
      </x:c>
      <x:c r="D161" s="34" t="str">
        <x:v>1.916</x:v>
      </x:c>
      <x:c r="E161" s="22" t="str">
        <x:v>罐</x:v>
      </x:c>
      <x:c r="F161" s="34" t="n">
        <x:v>65</x:v>
      </x:c>
      <x:c r="G161" s="34" t="n">
        <x:v>124.54</x:v>
      </x:c>
      <x:c r="H161" s="22" t="str">
        <x:v>芭乐</x:v>
      </x:c>
      <x:c r="I161" s="36" t="n">
        <x:v>0.2857</x:v>
      </x:c>
      <x:c r="J161" s="22" t="str">
        <x:v>未匹配</x:v>
      </x:c>
    </x:row>
    <x:row r="162">
      <x:c r="A162" s="22" t="str">
        <x:v>前厅调料</x:v>
      </x:c>
      <x:c r="B162" s="22" t="str">
        <x:v>雪碧摩登罐</x:v>
      </x:c>
      <x:c r="C162" s="22" t="str">
        <x:v>件/24罐</x:v>
      </x:c>
      <x:c r="D162" s="34" t="str">
        <x:v>1.916</x:v>
      </x:c>
      <x:c r="E162" s="22" t="str">
        <x:v>罐</x:v>
      </x:c>
      <x:c r="F162" s="34" t="n">
        <x:v>90</x:v>
      </x:c>
      <x:c r="G162" s="34" t="n">
        <x:v>172.44</x:v>
      </x:c>
      <x:c r="H162" s="22" t="str">
        <x:v>龙爪</x:v>
      </x:c>
      <x:c r="I162" s="36" t="n">
        <x:v>0</x:v>
      </x:c>
      <x:c r="J162" s="22" t="str">
        <x:v>未匹配</x:v>
      </x:c>
    </x:row>
    <x:row r="163">
      <x:c r="A163" s="22" t="str">
        <x:v>前厅调料</x:v>
      </x:c>
      <x:c r="B163" s="22" t="str">
        <x:v>白熊</x:v>
      </x:c>
      <x:c r="C163" s="22" t="str">
        <x:v>件/24瓶/330ml</x:v>
      </x:c>
      <x:c r="D163" s="34" t="str">
        <x:v>9.792</x:v>
      </x:c>
      <x:c r="E163" s="22" t="str">
        <x:v>瓶</x:v>
      </x:c>
      <x:c r="F163" s="34" t="n">
        <x:v>21</x:v>
      </x:c>
      <x:c r="G163" s="34" t="n">
        <x:v>205.632</x:v>
      </x:c>
      <x:c r="H163" s="22" t="str">
        <x:v>白醋</x:v>
      </x:c>
      <x:c r="I163" s="36" t="n">
        <x:v>0.5</x:v>
      </x:c>
      <x:c r="J163" s="22" t="str">
        <x:v>未匹配</x:v>
      </x:c>
    </x:row>
    <x:row r="164">
      <x:c r="A164" s="22" t="str">
        <x:v>前厅调料</x:v>
      </x:c>
      <x:c r="B164" s="22" t="str">
        <x:v>保拉纳（白）</x:v>
      </x:c>
      <x:c r="C164" s="22" t="str">
        <x:v>500ml/2O瓶</x:v>
      </x:c>
      <x:c r="D164" s="34" t="str">
        <x:v>9</x:v>
      </x:c>
      <x:c r="E164" s="22" t="str">
        <x:v>瓶</x:v>
      </x:c>
      <x:c r="F164" s="34" t="n">
        <x:v>34</x:v>
      </x:c>
      <x:c r="G164" s="34" t="n">
        <x:v>306</x:v>
      </x:c>
      <x:c r="H164" s="22" t="str">
        <x:v>白醋</x:v>
      </x:c>
      <x:c r="I164" s="36" t="n">
        <x:v>0.3333</x:v>
      </x:c>
      <x:c r="J164" s="22" t="str">
        <x:v>未匹配</x:v>
      </x:c>
    </x:row>
    <x:row r="165">
      <x:c r="A165" s="22" t="str">
        <x:v>前厅调料</x:v>
      </x:c>
      <x:c r="B165" s="22" t="str">
        <x:v>保拉纳（黑）</x:v>
      </x:c>
      <x:c r="C165" s="22" t="str">
        <x:v>500ml/20瓶</x:v>
      </x:c>
      <x:c r="D165" s="34" t="str">
        <x:v>9.25</x:v>
      </x:c>
      <x:c r="E165" s="22" t="str">
        <x:v>瓶</x:v>
      </x:c>
      <x:c r="F165" s="34" t="n">
        <x:v>30</x:v>
      </x:c>
      <x:c r="G165" s="34" t="n">
        <x:v>277.5</x:v>
      </x:c>
      <x:c r="H165" s="22" t="str">
        <x:v>黑鸡枞</x:v>
      </x:c>
      <x:c r="I165" s="36" t="n">
        <x:v>0.2857</x:v>
      </x:c>
      <x:c r="J165" s="22" t="str">
        <x:v>未匹配</x:v>
      </x:c>
    </x:row>
    <x:row r="166">
      <x:c r="A166" s="22" t="str">
        <x:v>前厅调料</x:v>
      </x:c>
      <x:c r="B166" s="22" t="str">
        <x:v>乐堡啤酒</x:v>
      </x:c>
      <x:c r="C166" s="22" t="str">
        <x:v>12瓶/1箱</x:v>
      </x:c>
      <x:c r="D166" s="34" t="str">
        <x:v>4.833</x:v>
      </x:c>
      <x:c r="E166" s="22" t="str">
        <x:v>瓶</x:v>
      </x:c>
      <x:c r="F166" s="34" t="n">
        <x:v>0</x:v>
      </x:c>
      <x:c r="G166" s="34" t="n">
        <x:v>0</x:v>
      </x:c>
      <x:c r="H166" s="22" t="str">
        <x:v>酒酿</x:v>
      </x:c>
      <x:c r="I166" s="36" t="n">
        <x:v>0.3333</x:v>
      </x:c>
      <x:c r="J166" s="22" t="str">
        <x:v>未匹配</x:v>
      </x:c>
    </x:row>
    <x:row r="167">
      <x:c r="A167" s="22" t="str">
        <x:v>前厅调料</x:v>
      </x:c>
      <x:c r="B167" s="22" t="str">
        <x:v>风花雪月</x:v>
      </x:c>
      <x:c r="C167" s="22" t="str">
        <x:v>12瓶/件</x:v>
      </x:c>
      <x:c r="D167" s="34" t="n">
        <x:v>5.66</x:v>
      </x:c>
      <x:c r="E167" s="22" t="str">
        <x:v>瓶</x:v>
      </x:c>
      <x:c r="F167" s="34" t="n">
        <x:v>0</x:v>
      </x:c>
      <x:c r="G167" s="34" t="n">
        <x:v>0</x:v>
      </x:c>
      <x:c r="H167" s="22" t="str">
        <x:v>鱼花</x:v>
      </x:c>
      <x:c r="I167" s="36" t="n">
        <x:v>0.3333</x:v>
      </x:c>
      <x:c r="J167" s="22" t="str">
        <x:v>未匹配</x:v>
      </x:c>
    </x:row>
    <x:row r="168">
      <x:c r="A168" s="24" t="str">
        <x:v>前厅调料</x:v>
      </x:c>
      <x:c r="B168" s="24" t="str">
        <x:v>农夫山泉1.5升</x:v>
      </x:c>
      <x:c r="C168" s="24" t="str">
        <x:v>1.5L*12/件</x:v>
      </x:c>
      <x:c r="D168" s="35" t="str">
        <x:v>1.916</x:v>
      </x:c>
      <x:c r="E168" s="24" t="str">
        <x:v>瓶</x:v>
      </x:c>
      <x:c r="F168" s="35" t="n">
        <x:v>220</x:v>
      </x:c>
      <x:c r="G168" s="35" t="n">
        <x:v>421.52</x:v>
      </x:c>
      <x:c r="H168" s="24" t="str">
        <x:v>农夫山泉水</x:v>
      </x:c>
      <x:c r="I168" s="37" t="n">
        <x:v>0.6154</x:v>
      </x:c>
      <x:c r="J168" s="24" t="str">
        <x:v>未匹配</x:v>
      </x:c>
    </x:row>
  </x:sheetData>
  <x:pageMargins left="0.7" right="0.7" top="0.75" bottom="0.75" header="0.3" footer="0.3"/>
  <x:tableParts count="1">
    <x:tablePart xmlns:r="http://schemas.openxmlformats.org/officeDocument/2006/relationships" r:id="R66a5ad7162e542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11" hidden="0" customWidth="1"/>
    <x:col min="14" max="14" width="18" hidden="0" customWidth="1"/>
  </x:cols>
  <x:sheetData>
    <x:row r="1">
      <x:c r="A1" s="13" t="str">
        <x:v>分类</x:v>
      </x:c>
      <x:c r="B1" s="28" t="str">
        <x:v>菜品</x:v>
      </x:c>
      <x:c r="C1" s="28" t="str">
        <x:v>BOM原料</x:v>
      </x:c>
      <x:c r="D1" s="28" t="str">
        <x:v>净用量</x:v>
      </x:c>
      <x:c r="E1" s="28" t="str">
        <x:v>毛用量</x:v>
      </x:c>
      <x:c r="F1" s="28" t="str">
        <x:v>出成率</x:v>
      </x:c>
      <x:c r="G1" s="28" t="str">
        <x:v>原表单价</x:v>
      </x:c>
      <x:c r="H1" s="28" t="str">
        <x:v>单份成本</x:v>
      </x:c>
      <x:c r="I1" s="28" t="str">
        <x:v>菜品总成本</x:v>
      </x:c>
      <x:c r="J1" s="28" t="str">
        <x:v>售价</x:v>
      </x:c>
      <x:c r="K1" s="28" t="str">
        <x:v>毛利率</x:v>
      </x:c>
      <x:c r="L1" s="28" t="str">
        <x:v>盘点候选品项</x:v>
      </x:c>
      <x:c r="M1" s="28" t="str">
        <x:v>相似度</x:v>
      </x:c>
      <x:c r="N1" s="14" t="str">
        <x:v>状态</x:v>
      </x:c>
    </x:row>
    <x:row r="2">
      <x:c r="A2" s="22" t="str">
        <x:v>小吃</x:v>
      </x:c>
      <x:c r="B2" s="22" t="str">
        <x:v>傣味舂鸡脚</x:v>
      </x:c>
      <x:c r="C2" s="22" t="str">
        <x:v>鸡爪</x:v>
      </x:c>
      <x:c r="D2" s="34" t="n">
        <x:v>115</x:v>
      </x:c>
      <x:c r="E2" s="34" t="n">
        <x:v>290</x:v>
      </x:c>
      <x:c r="F2" s="34" t="n">
        <x:v>39.6551724137931</x:v>
      </x:c>
      <x:c r="G2" s="34" t="n">
        <x:v>11.5</x:v>
      </x:c>
      <x:c r="H2" s="34" t="n">
        <x:v>6.67</x:v>
      </x:c>
      <x:c r="I2" s="34" t="n">
        <x:v>10.469999999999999</x:v>
      </x:c>
      <x:c r="J2" s="34" t="n">
        <x:v>36</x:v>
      </x:c>
      <x:c r="K2" s="36" t="n">
        <x:v>0.7091666666666667</x:v>
      </x:c>
      <x:c r="L2" s="22" t="str">
        <x:v>去骨鸡爪</x:v>
      </x:c>
      <x:c r="M2" s="36" t="n">
        <x:v>0.84</x:v>
      </x:c>
      <x:c r="N2" s="22" t="str">
        <x:v>可能匹配待确认</x:v>
      </x:c>
    </x:row>
    <x:row r="3">
      <x:c r="A3" s="22" t="str">
        <x:v>小吃</x:v>
      </x:c>
      <x:c r="B3" s="22" t="str">
        <x:v>傣味舂鸡脚</x:v>
      </x:c>
      <x:c r="C3" s="22" t="str">
        <x:v>胡萝卜丝</x:v>
      </x:c>
      <x:c r="D3" s="34" t="n">
        <x:v>18</x:v>
      </x:c>
      <x:c r="E3" s="34" t="n">
        <x:v>20</x:v>
      </x:c>
      <x:c r="F3" s="34" t="n">
        <x:v>90</x:v>
      </x:c>
      <x:c r="G3" s="34" t="n">
        <x:v>2.5</x:v>
      </x:c>
      <x:c r="H3" s="34" t="n">
        <x:v>0.1</x:v>
      </x:c>
      <x:c r="I3" s="34"/>
      <x:c r="J3" s="34"/>
      <x:c r="K3" s="36"/>
      <x:c r="L3" s="22" t="str">
        <x:v>胡萝卜果汁包</x:v>
      </x:c>
      <x:c r="M3" s="36" t="n">
        <x:v>0.6</x:v>
      </x:c>
      <x:c r="N3" s="22" t="str">
        <x:v>未匹配</x:v>
      </x:c>
    </x:row>
    <x:row r="4">
      <x:c r="A4" s="22" t="str">
        <x:v>小吃</x:v>
      </x:c>
      <x:c r="B4" s="22" t="str">
        <x:v>傣味舂鸡脚</x:v>
      </x:c>
      <x:c r="C4" s="22" t="str">
        <x:v>木瓜丝</x:v>
      </x:c>
      <x:c r="D4" s="34" t="n">
        <x:v>18</x:v>
      </x:c>
      <x:c r="E4" s="34" t="n">
        <x:v>20</x:v>
      </x:c>
      <x:c r="F4" s="34" t="n">
        <x:v>90</x:v>
      </x:c>
      <x:c r="G4" s="34" t="n">
        <x:v>7</x:v>
      </x:c>
      <x:c r="H4" s="34" t="n">
        <x:v>0.28</x:v>
      </x:c>
      <x:c r="I4" s="34"/>
      <x:c r="J4" s="34"/>
      <x:c r="K4" s="36"/>
      <x:c r="L4" s="22" t="str">
        <x:v>冷冻酸木瓜片</x:v>
      </x:c>
      <x:c r="M4" s="36" t="n">
        <x:v>0.4444</x:v>
      </x:c>
      <x:c r="N4" s="22" t="str">
        <x:v>未匹配</x:v>
      </x:c>
    </x:row>
    <x:row r="5">
      <x:c r="A5" s="22" t="str">
        <x:v>小吃</x:v>
      </x:c>
      <x:c r="B5" s="22" t="str">
        <x:v>傣味舂鸡脚</x:v>
      </x:c>
      <x:c r="C5" s="22" t="str">
        <x:v>洋葱</x:v>
      </x:c>
      <x:c r="D5" s="34" t="n">
        <x:v>30</x:v>
      </x:c>
      <x:c r="E5" s="34" t="n">
        <x:v>33</x:v>
      </x:c>
      <x:c r="F5" s="34" t="n">
        <x:v>90.9090909090909</x:v>
      </x:c>
      <x:c r="G5" s="34" t="n">
        <x:v>1.2</x:v>
      </x:c>
      <x:c r="H5" s="34" t="n">
        <x:v>0.08</x:v>
      </x:c>
      <x:c r="I5" s="34"/>
      <x:c r="J5" s="34"/>
      <x:c r="K5" s="36"/>
      <x:c r="L5" s="22" t="str">
        <x:v>紫葱（鲜菌）</x:v>
      </x:c>
      <x:c r="M5" s="36" t="n">
        <x:v>0.3333</x:v>
      </x:c>
      <x:c r="N5" s="22" t="str">
        <x:v>未匹配</x:v>
      </x:c>
    </x:row>
    <x:row r="6">
      <x:c r="A6" s="22" t="str">
        <x:v>小吃</x:v>
      </x:c>
      <x:c r="B6" s="22" t="str">
        <x:v>傣味舂鸡脚</x:v>
      </x:c>
      <x:c r="C6" s="22" t="str">
        <x:v>大香菜</x:v>
      </x:c>
      <x:c r="D6" s="34" t="n">
        <x:v>8</x:v>
      </x:c>
      <x:c r="E6" s="34" t="n">
        <x:v>9.52</x:v>
      </x:c>
      <x:c r="F6" s="34" t="n">
        <x:v>84.03361344537815</x:v>
      </x:c>
      <x:c r="G6" s="34" t="n">
        <x:v>18</x:v>
      </x:c>
      <x:c r="H6" s="34" t="n">
        <x:v>0.35</x:v>
      </x:c>
      <x:c r="I6" s="34"/>
      <x:c r="J6" s="34"/>
      <x:c r="K6" s="36"/>
      <x:c r="L6" s="22" t="str">
        <x:v>大米龙（奶香雪花）</x:v>
      </x:c>
      <x:c r="M6" s="36" t="n">
        <x:v>0.4</x:v>
      </x:c>
      <x:c r="N6" s="22" t="str">
        <x:v>未匹配</x:v>
      </x:c>
    </x:row>
    <x:row r="7">
      <x:c r="A7" s="22" t="str">
        <x:v>小吃</x:v>
      </x:c>
      <x:c r="B7" s="22" t="str">
        <x:v>傣味舂鸡脚</x:v>
      </x:c>
      <x:c r="C7" s="22" t="str">
        <x:v>大蒜粒</x:v>
      </x:c>
      <x:c r="D7" s="34" t="n">
        <x:v>5</x:v>
      </x:c>
      <x:c r="E7" s="34" t="n">
        <x:v>5</x:v>
      </x:c>
      <x:c r="F7" s="34" t="n">
        <x:v>100</x:v>
      </x:c>
      <x:c r="G7" s="34" t="n">
        <x:v>5</x:v>
      </x:c>
      <x:c r="H7" s="34" t="n">
        <x:v>0.05</x:v>
      </x:c>
      <x:c r="I7" s="34"/>
      <x:c r="J7" s="34"/>
      <x:c r="K7" s="36"/>
      <x:c r="L7" s="22" t="str">
        <x:v>五常大米</x:v>
      </x:c>
      <x:c r="M7" s="36" t="n">
        <x:v>0.2857</x:v>
      </x:c>
      <x:c r="N7" s="22" t="str">
        <x:v>未匹配</x:v>
      </x:c>
    </x:row>
    <x:row r="8">
      <x:c r="A8" s="22" t="str">
        <x:v>小吃</x:v>
      </x:c>
      <x:c r="B8" s="22" t="str">
        <x:v>傣味舂鸡脚</x:v>
      </x:c>
      <x:c r="C8" s="22" t="str">
        <x:v>小米椒</x:v>
      </x:c>
      <x:c r="D8" s="34" t="n">
        <x:v>8</x:v>
      </x:c>
      <x:c r="E8" s="34" t="n">
        <x:v>8.5</x:v>
      </x:c>
      <x:c r="F8" s="34" t="n">
        <x:v>94.11764705882352</x:v>
      </x:c>
      <x:c r="G8" s="34" t="n">
        <x:v>18</x:v>
      </x:c>
      <x:c r="H8" s="34" t="n">
        <x:v>0.3</x:v>
      </x:c>
      <x:c r="I8" s="34"/>
      <x:c r="J8" s="34"/>
      <x:c r="K8" s="36"/>
      <x:c r="L8" s="22" t="str">
        <x:v>花生米</x:v>
      </x:c>
      <x:c r="M8" s="36" t="n">
        <x:v>0.3333</x:v>
      </x:c>
      <x:c r="N8" s="22" t="str">
        <x:v>未匹配</x:v>
      </x:c>
    </x:row>
    <x:row r="9">
      <x:c r="A9" s="22" t="str">
        <x:v>小吃</x:v>
      </x:c>
      <x:c r="B9" s="22" t="str">
        <x:v>傣味舂鸡脚</x:v>
      </x:c>
      <x:c r="C9" s="22" t="str">
        <x:v>傣味汁</x:v>
      </x:c>
      <x:c r="D9" s="34" t="n">
        <x:v>55</x:v>
      </x:c>
      <x:c r="E9" s="34" t="n">
        <x:v>55</x:v>
      </x:c>
      <x:c r="F9" s="34" t="n">
        <x:v>99.99999999999999</x:v>
      </x:c>
      <x:c r="G9" s="34" t="n">
        <x:v>20</x:v>
      </x:c>
      <x:c r="H9" s="34" t="n">
        <x:v>2.2</x:v>
      </x:c>
      <x:c r="I9" s="34"/>
      <x:c r="J9" s="34"/>
      <x:c r="K9" s="36"/>
      <x:c r="L9" s="22" t="str">
        <x:v>傣味舂鸡爪酱</x:v>
      </x:c>
      <x:c r="M9" s="36" t="n">
        <x:v>0.4444</x:v>
      </x:c>
      <x:c r="N9" s="22" t="str">
        <x:v>未匹配</x:v>
      </x:c>
    </x:row>
    <x:row r="10">
      <x:c r="A10" s="22" t="str">
        <x:v>小吃</x:v>
      </x:c>
      <x:c r="B10" s="22" t="str">
        <x:v>傣味舂鸡脚</x:v>
      </x:c>
      <x:c r="C10" s="22" t="str">
        <x:v>柠檬汁</x:v>
      </x:c>
      <x:c r="D10" s="34" t="n">
        <x:v>15</x:v>
      </x:c>
      <x:c r="E10" s="34" t="n">
        <x:v>15</x:v>
      </x:c>
      <x:c r="F10" s="34" t="n">
        <x:v>100</x:v>
      </x:c>
      <x:c r="G10" s="34" t="n">
        <x:v>14.5</x:v>
      </x:c>
      <x:c r="H10" s="34" t="n">
        <x:v>0.44</x:v>
      </x:c>
      <x:c r="I10" s="34"/>
      <x:c r="J10" s="34"/>
      <x:c r="K10" s="36"/>
      <x:c r="L10" s="22" t="str">
        <x:v>黄柠檬</x:v>
      </x:c>
      <x:c r="M10" s="36" t="n">
        <x:v>0.6667</x:v>
      </x:c>
      <x:c r="N10" s="22" t="str">
        <x:v>未匹配</x:v>
      </x:c>
    </x:row>
    <x:row r="11">
      <x:c r="A11" s="22" t="str">
        <x:v>小吃</x:v>
      </x:c>
      <x:c r="B11" s="22" t="str">
        <x:v>凉拌折耳根</x:v>
      </x:c>
      <x:c r="C11" s="22" t="str">
        <x:v>折耳根段</x:v>
      </x:c>
      <x:c r="D11" s="34" t="n">
        <x:v>100</x:v>
      </x:c>
      <x:c r="E11" s="34" t="n">
        <x:v>110</x:v>
      </x:c>
      <x:c r="F11" s="34" t="n">
        <x:v>90.9090909090909</x:v>
      </x:c>
      <x:c r="G11" s="34" t="n">
        <x:v>14</x:v>
      </x:c>
      <x:c r="H11" s="34" t="n">
        <x:v>3</x:v>
      </x:c>
      <x:c r="I11" s="34" t="n">
        <x:v>6</x:v>
      </x:c>
      <x:c r="J11" s="34" t="n">
        <x:v>18</x:v>
      </x:c>
      <x:c r="K11" s="36" t="n">
        <x:v>66.66666666666667</x:v>
      </x:c>
      <x:c r="L11" s="22" t="str">
        <x:v>金耳菌</x:v>
      </x:c>
      <x:c r="M11" s="36" t="n">
        <x:v>0.2857</x:v>
      </x:c>
      <x:c r="N11" s="22" t="str">
        <x:v>未匹配</x:v>
      </x:c>
    </x:row>
    <x:row r="12">
      <x:c r="A12" s="22" t="str">
        <x:v>小吃</x:v>
      </x:c>
      <x:c r="B12" s="22" t="str">
        <x:v>凉拌折耳根</x:v>
      </x:c>
      <x:c r="C12" s="22" t="str">
        <x:v>花生米</x:v>
      </x:c>
      <x:c r="D12" s="34" t="n">
        <x:v>40</x:v>
      </x:c>
      <x:c r="E12" s="34" t="n">
        <x:v>40</x:v>
      </x:c>
      <x:c r="F12" s="34" t="n">
        <x:v>100</x:v>
      </x:c>
      <x:c r="G12" s="34" t="n">
        <x:v>10</x:v>
      </x:c>
      <x:c r="H12" s="34" t="n">
        <x:v>0.8</x:v>
      </x:c>
      <x:c r="I12" s="34"/>
      <x:c r="J12" s="34"/>
      <x:c r="K12" s="36"/>
      <x:c r="L12" s="22" t="str">
        <x:v>花生米</x:v>
      </x:c>
      <x:c r="M12" s="36" t="n">
        <x:v>1</x:v>
      </x:c>
      <x:c r="N12" s="22" t="str">
        <x:v>名称一致</x:v>
      </x:c>
    </x:row>
    <x:row r="13">
      <x:c r="A13" s="22" t="str">
        <x:v>小吃</x:v>
      </x:c>
      <x:c r="B13" s="22" t="str">
        <x:v>凉拌折耳根</x:v>
      </x:c>
      <x:c r="C13" s="22" t="str">
        <x:v>小香菜</x:v>
      </x:c>
      <x:c r="D13" s="34" t="n">
        <x:v>5</x:v>
      </x:c>
      <x:c r="E13" s="34" t="n">
        <x:v>6</x:v>
      </x:c>
      <x:c r="F13" s="34" t="n">
        <x:v>83.33333333333334</x:v>
      </x:c>
      <x:c r="G13" s="34" t="n">
        <x:v>5</x:v>
      </x:c>
      <x:c r="H13" s="34" t="n">
        <x:v>0.06</x:v>
      </x:c>
      <x:c r="I13" s="34"/>
      <x:c r="J13" s="34"/>
      <x:c r="K13" s="36"/>
      <x:c r="L13" s="22" t="str">
        <x:v>火锅小香肠</x:v>
      </x:c>
      <x:c r="M13" s="36" t="n">
        <x:v>0.5</x:v>
      </x:c>
      <x:c r="N13" s="22" t="str">
        <x:v>未匹配</x:v>
      </x:c>
    </x:row>
    <x:row r="14">
      <x:c r="A14" s="22" t="str">
        <x:v>小吃</x:v>
      </x:c>
      <x:c r="B14" s="22" t="str">
        <x:v>凉拌折耳根</x:v>
      </x:c>
      <x:c r="C14" s="22" t="str">
        <x:v>小葱</x:v>
      </x:c>
      <x:c r="D14" s="34" t="n">
        <x:v>8</x:v>
      </x:c>
      <x:c r="E14" s="34" t="n">
        <x:v>9</x:v>
      </x:c>
      <x:c r="F14" s="34" t="n">
        <x:v>88.88888888888889</x:v>
      </x:c>
      <x:c r="G14" s="34" t="n">
        <x:v>5</x:v>
      </x:c>
      <x:c r="H14" s="34" t="n">
        <x:v>0.1</x:v>
      </x:c>
      <x:c r="I14" s="34"/>
      <x:c r="J14" s="34"/>
      <x:c r="K14" s="36"/>
      <x:c r="L14" s="22" t="str">
        <x:v>小酥肉</x:v>
      </x:c>
      <x:c r="M14" s="36" t="n">
        <x:v>0.4</x:v>
      </x:c>
      <x:c r="N14" s="22" t="str">
        <x:v>未匹配</x:v>
      </x:c>
    </x:row>
    <x:row r="15">
      <x:c r="A15" s="22" t="str">
        <x:v>小吃</x:v>
      </x:c>
      <x:c r="B15" s="22" t="str">
        <x:v>凉拌折耳根</x:v>
      </x:c>
      <x:c r="C15" s="22" t="str">
        <x:v>薄荷</x:v>
      </x:c>
      <x:c r="D15" s="34" t="n">
        <x:v>10</x:v>
      </x:c>
      <x:c r="E15" s="34" t="n">
        <x:v>12.5</x:v>
      </x:c>
      <x:c r="F15" s="34" t="n">
        <x:v>80</x:v>
      </x:c>
      <x:c r="G15" s="34" t="n">
        <x:v>10</x:v>
      </x:c>
      <x:c r="H15" s="34" t="n">
        <x:v>0.25</x:v>
      </x:c>
      <x:c r="I15" s="34"/>
      <x:c r="J15" s="34"/>
      <x:c r="K15" s="36"/>
      <x:c r="L15" s="22" t="str">
        <x:v>龙爪菇</x:v>
      </x:c>
      <x:c r="M15" s="36" t="n">
        <x:v>0</x:v>
      </x:c>
      <x:c r="N15" s="22" t="str">
        <x:v>未匹配</x:v>
      </x:c>
    </x:row>
    <x:row r="16">
      <x:c r="A16" s="22" t="str">
        <x:v>小吃</x:v>
      </x:c>
      <x:c r="B16" s="22" t="str">
        <x:v>凉拌折耳根</x:v>
      </x:c>
      <x:c r="C16" s="22" t="str">
        <x:v>辣椒油</x:v>
      </x:c>
      <x:c r="D16" s="34" t="n">
        <x:v>2</x:v>
      </x:c>
      <x:c r="E16" s="34" t="n">
        <x:v>2</x:v>
      </x:c>
      <x:c r="F16" s="34" t="n">
        <x:v>100</x:v>
      </x:c>
      <x:c r="G16" s="34" t="n">
        <x:v>23.5</x:v>
      </x:c>
      <x:c r="H16" s="34" t="n">
        <x:v>0.1</x:v>
      </x:c>
      <x:c r="I16" s="34"/>
      <x:c r="J16" s="34"/>
      <x:c r="K16" s="36"/>
      <x:c r="L16" s="22" t="str">
        <x:v>特级丘北辣椒</x:v>
      </x:c>
      <x:c r="M16" s="36" t="n">
        <x:v>0.4444</x:v>
      </x:c>
      <x:c r="N16" s="22" t="str">
        <x:v>未匹配</x:v>
      </x:c>
    </x:row>
    <x:row r="17">
      <x:c r="A17" s="22" t="str">
        <x:v>小吃</x:v>
      </x:c>
      <x:c r="B17" s="22" t="str">
        <x:v>凉拌折耳根</x:v>
      </x:c>
      <x:c r="C17" s="22" t="str">
        <x:v>小米椒碎</x:v>
      </x:c>
      <x:c r="D17" s="34" t="n">
        <x:v>8</x:v>
      </x:c>
      <x:c r="E17" s="34" t="n">
        <x:v>10</x:v>
      </x:c>
      <x:c r="F17" s="34" t="n">
        <x:v>80</x:v>
      </x:c>
      <x:c r="G17" s="34" t="n">
        <x:v>18</x:v>
      </x:c>
      <x:c r="H17" s="34" t="n">
        <x:v>0.36</x:v>
      </x:c>
      <x:c r="I17" s="34"/>
      <x:c r="J17" s="34"/>
      <x:c r="K17" s="36"/>
      <x:c r="L17" s="22" t="str">
        <x:v>特级丘北辣椒碎</x:v>
      </x:c>
      <x:c r="M17" s="36" t="n">
        <x:v>0.3636</x:v>
      </x:c>
      <x:c r="N17" s="22" t="str">
        <x:v>未匹配</x:v>
      </x:c>
    </x:row>
    <x:row r="18">
      <x:c r="A18" s="22" t="str">
        <x:v>小吃</x:v>
      </x:c>
      <x:c r="B18" s="22" t="str">
        <x:v>凉拌折耳根</x:v>
      </x:c>
      <x:c r="C18" s="22" t="str">
        <x:v>傣味汁</x:v>
      </x:c>
      <x:c r="D18" s="34" t="n">
        <x:v>25</x:v>
      </x:c>
      <x:c r="E18" s="34" t="n">
        <x:v>25</x:v>
      </x:c>
      <x:c r="F18" s="34" t="n">
        <x:v>100</x:v>
      </x:c>
      <x:c r="G18" s="34" t="n">
        <x:v>20</x:v>
      </x:c>
      <x:c r="H18" s="34" t="n">
        <x:v>1</x:v>
      </x:c>
      <x:c r="I18" s="34"/>
      <x:c r="J18" s="34"/>
      <x:c r="K18" s="36"/>
      <x:c r="L18" s="22" t="str">
        <x:v>傣味舂鸡爪酱</x:v>
      </x:c>
      <x:c r="M18" s="36" t="n">
        <x:v>0.4444</x:v>
      </x:c>
      <x:c r="N18" s="22" t="str">
        <x:v>未匹配</x:v>
      </x:c>
    </x:row>
    <x:row r="19">
      <x:c r="A19" s="22" t="str">
        <x:v>小吃</x:v>
      </x:c>
      <x:c r="B19" s="22" t="str">
        <x:v>傣味柠檬虾</x:v>
      </x:c>
      <x:c r="C19" s="22" t="str">
        <x:v>去壳虾尾</x:v>
      </x:c>
      <x:c r="D19" s="34" t="n">
        <x:v>175</x:v>
      </x:c>
      <x:c r="E19" s="34" t="n">
        <x:v>175</x:v>
      </x:c>
      <x:c r="F19" s="34" t="n">
        <x:v>100</x:v>
      </x:c>
      <x:c r="G19" s="34" t="n">
        <x:v>32</x:v>
      </x:c>
      <x:c r="H19" s="34" t="n">
        <x:v>11.2</x:v>
      </x:c>
      <x:c r="I19" s="34" t="n">
        <x:v>18.7</x:v>
      </x:c>
      <x:c r="J19" s="34" t="n">
        <x:v>58</x:v>
      </x:c>
      <x:c r="K19" s="36" t="n">
        <x:v>67.75862068965517</x:v>
      </x:c>
      <x:c r="L19" s="22" t="str">
        <x:v>基围虾</x:v>
      </x:c>
      <x:c r="M19" s="36" t="n">
        <x:v>0.2857</x:v>
      </x:c>
      <x:c r="N19" s="22" t="str">
        <x:v>未匹配</x:v>
      </x:c>
    </x:row>
    <x:row r="20">
      <x:c r="A20" s="22" t="str">
        <x:v>小吃</x:v>
      </x:c>
      <x:c r="B20" s="22" t="str">
        <x:v>傣味柠檬虾</x:v>
      </x:c>
      <x:c r="C20" s="22" t="str">
        <x:v>山葵</x:v>
      </x:c>
      <x:c r="D20" s="34" t="n">
        <x:v>5</x:v>
      </x:c>
      <x:c r="E20" s="34" t="n">
        <x:v>5.3</x:v>
      </x:c>
      <x:c r="F20" s="34" t="n">
        <x:v>94.33962264150944</x:v>
      </x:c>
      <x:c r="G20" s="34" t="n">
        <x:v>88</x:v>
      </x:c>
      <x:c r="H20" s="34" t="n">
        <x:v>0.94</x:v>
      </x:c>
      <x:c r="I20" s="34"/>
      <x:c r="J20" s="34"/>
      <x:c r="K20" s="36"/>
      <x:c r="L20" s="22" t="str">
        <x:v>农夫山泉1.5升</x:v>
      </x:c>
      <x:c r="M20" s="36" t="n">
        <x:v>0.2</x:v>
      </x:c>
      <x:c r="N20" s="22" t="str">
        <x:v>未匹配</x:v>
      </x:c>
    </x:row>
    <x:row r="21">
      <x:c r="A21" s="22" t="str">
        <x:v>小吃</x:v>
      </x:c>
      <x:c r="B21" s="22" t="str">
        <x:v>傣味柠檬虾</x:v>
      </x:c>
      <x:c r="C21" s="22" t="str">
        <x:v>木瓜丝</x:v>
      </x:c>
      <x:c r="D21" s="34" t="n">
        <x:v>20</x:v>
      </x:c>
      <x:c r="E21" s="34" t="n">
        <x:v>22.23</x:v>
      </x:c>
      <x:c r="F21" s="34" t="n">
        <x:v>89.9685110211426</x:v>
      </x:c>
      <x:c r="G21" s="34" t="n">
        <x:v>7</x:v>
      </x:c>
      <x:c r="H21" s="34" t="n">
        <x:v>0.32</x:v>
      </x:c>
      <x:c r="I21" s="34"/>
      <x:c r="J21" s="34"/>
      <x:c r="K21" s="36"/>
      <x:c r="L21" s="22" t="str">
        <x:v>冷冻酸木瓜片</x:v>
      </x:c>
      <x:c r="M21" s="36" t="n">
        <x:v>0.4444</x:v>
      </x:c>
      <x:c r="N21" s="22" t="str">
        <x:v>未匹配</x:v>
      </x:c>
    </x:row>
    <x:row r="22">
      <x:c r="A22" s="22" t="str">
        <x:v>小吃</x:v>
      </x:c>
      <x:c r="B22" s="22" t="str">
        <x:v>傣味柠檬虾</x:v>
      </x:c>
      <x:c r="C22" s="22" t="str">
        <x:v>洋葱</x:v>
      </x:c>
      <x:c r="D22" s="34" t="n">
        <x:v>30</x:v>
      </x:c>
      <x:c r="E22" s="34" t="n">
        <x:v>33</x:v>
      </x:c>
      <x:c r="F22" s="34" t="n">
        <x:v>90.9090909090909</x:v>
      </x:c>
      <x:c r="G22" s="34" t="n">
        <x:v>1.2</x:v>
      </x:c>
      <x:c r="H22" s="34" t="n">
        <x:v>0.08</x:v>
      </x:c>
      <x:c r="I22" s="34"/>
      <x:c r="J22" s="34"/>
      <x:c r="K22" s="36"/>
      <x:c r="L22" s="22" t="str">
        <x:v>紫葱（鲜菌）</x:v>
      </x:c>
      <x:c r="M22" s="36" t="n">
        <x:v>0.3333</x:v>
      </x:c>
      <x:c r="N22" s="22" t="str">
        <x:v>未匹配</x:v>
      </x:c>
    </x:row>
    <x:row r="23">
      <x:c r="A23" s="22" t="str">
        <x:v>小吃</x:v>
      </x:c>
      <x:c r="B23" s="22" t="str">
        <x:v>傣味柠檬虾</x:v>
      </x:c>
      <x:c r="C23" s="22" t="str">
        <x:v>大香菜</x:v>
      </x:c>
      <x:c r="D23" s="34" t="n">
        <x:v>10</x:v>
      </x:c>
      <x:c r="E23" s="34" t="n">
        <x:v>11.9</x:v>
      </x:c>
      <x:c r="F23" s="34" t="n">
        <x:v>84.03361344537815</x:v>
      </x:c>
      <x:c r="G23" s="34" t="n">
        <x:v>18</x:v>
      </x:c>
      <x:c r="H23" s="34" t="n">
        <x:v>0.43</x:v>
      </x:c>
      <x:c r="I23" s="34"/>
      <x:c r="J23" s="34"/>
      <x:c r="K23" s="36"/>
      <x:c r="L23" s="22" t="str">
        <x:v>大米龙（奶香雪花）</x:v>
      </x:c>
      <x:c r="M23" s="36" t="n">
        <x:v>0.4</x:v>
      </x:c>
      <x:c r="N23" s="22" t="str">
        <x:v>未匹配</x:v>
      </x:c>
    </x:row>
    <x:row r="24">
      <x:c r="A24" s="22" t="str">
        <x:v>小吃</x:v>
      </x:c>
      <x:c r="B24" s="22" t="str">
        <x:v>傣味柠檬虾</x:v>
      </x:c>
      <x:c r="C24" s="22" t="str">
        <x:v>蒜籽</x:v>
      </x:c>
      <x:c r="D24" s="34" t="n">
        <x:v>5</x:v>
      </x:c>
      <x:c r="E24" s="34" t="n">
        <x:v>5</x:v>
      </x:c>
      <x:c r="F24" s="34" t="n">
        <x:v>100</x:v>
      </x:c>
      <x:c r="G24" s="34" t="n">
        <x:v>5</x:v>
      </x:c>
      <x:c r="H24" s="34" t="n">
        <x:v>0.05</x:v>
      </x:c>
      <x:c r="I24" s="34"/>
      <x:c r="J24" s="34"/>
      <x:c r="K24" s="36"/>
      <x:c r="L24" s="22" t="str">
        <x:v>龙爪菇</x:v>
      </x:c>
      <x:c r="M24" s="36" t="n">
        <x:v>0</x:v>
      </x:c>
      <x:c r="N24" s="22" t="str">
        <x:v>未匹配</x:v>
      </x:c>
    </x:row>
    <x:row r="25">
      <x:c r="A25" s="22" t="str">
        <x:v>小吃</x:v>
      </x:c>
      <x:c r="B25" s="22" t="str">
        <x:v>傣味柠檬虾</x:v>
      </x:c>
      <x:c r="C25" s="22" t="str">
        <x:v>小米椒</x:v>
      </x:c>
      <x:c r="D25" s="34" t="n">
        <x:v>8</x:v>
      </x:c>
      <x:c r="E25" s="34" t="n">
        <x:v>8.5</x:v>
      </x:c>
      <x:c r="F25" s="34" t="n">
        <x:v>94.11764705882352</x:v>
      </x:c>
      <x:c r="G25" s="34" t="n">
        <x:v>18</x:v>
      </x:c>
      <x:c r="H25" s="34" t="n">
        <x:v>0.31</x:v>
      </x:c>
      <x:c r="I25" s="34"/>
      <x:c r="J25" s="34"/>
      <x:c r="K25" s="36"/>
      <x:c r="L25" s="22" t="str">
        <x:v>花生米</x:v>
      </x:c>
      <x:c r="M25" s="36" t="n">
        <x:v>0.3333</x:v>
      </x:c>
      <x:c r="N25" s="22" t="str">
        <x:v>未匹配</x:v>
      </x:c>
    </x:row>
    <x:row r="26">
      <x:c r="A26" s="22" t="str">
        <x:v>小吃</x:v>
      </x:c>
      <x:c r="B26" s="22" t="str">
        <x:v>傣味柠檬虾</x:v>
      </x:c>
      <x:c r="C26" s="22" t="str">
        <x:v>调味糖浆</x:v>
      </x:c>
      <x:c r="D26" s="34" t="n">
        <x:v>5</x:v>
      </x:c>
      <x:c r="E26" s="34"/>
      <x:c r="F26" s="34"/>
      <x:c r="G26" s="34"/>
      <x:c r="H26" s="34"/>
      <x:c r="I26" s="34"/>
      <x:c r="J26" s="34"/>
      <x:c r="K26" s="36"/>
      <x:c r="L26" s="22" t="str">
        <x:v>调味糖浆（冰糖糖浆）</x:v>
      </x:c>
      <x:c r="M26" s="36" t="n">
        <x:v>0.84</x:v>
      </x:c>
      <x:c r="N26" s="22" t="str">
        <x:v>可能匹配待确认</x:v>
      </x:c>
    </x:row>
    <x:row r="27">
      <x:c r="A27" s="22" t="str">
        <x:v>小吃</x:v>
      </x:c>
      <x:c r="B27" s="22" t="str">
        <x:v>傣味柠檬虾</x:v>
      </x:c>
      <x:c r="C27" s="22" t="str">
        <x:v>凤梨</x:v>
      </x:c>
      <x:c r="D27" s="34" t="n">
        <x:v>100</x:v>
      </x:c>
      <x:c r="E27" s="34" t="n">
        <x:v>140</x:v>
      </x:c>
      <x:c r="F27" s="34" t="n">
        <x:v>71.42857142857143</x:v>
      </x:c>
      <x:c r="G27" s="34" t="n">
        <x:v>6</x:v>
      </x:c>
      <x:c r="H27" s="34" t="n">
        <x:v>1.68</x:v>
      </x:c>
      <x:c r="I27" s="34"/>
      <x:c r="J27" s="34"/>
      <x:c r="K27" s="36"/>
      <x:c r="L27" s="22" t="str">
        <x:v>甄选刺梨汁</x:v>
      </x:c>
      <x:c r="M27" s="36" t="n">
        <x:v>0.2857</x:v>
      </x:c>
      <x:c r="N27" s="22" t="str">
        <x:v>未匹配</x:v>
      </x:c>
    </x:row>
    <x:row r="28">
      <x:c r="A28" s="22" t="str">
        <x:v>小吃</x:v>
      </x:c>
      <x:c r="B28" s="22" t="str">
        <x:v>傣味柠檬虾</x:v>
      </x:c>
      <x:c r="C28" s="22" t="str">
        <x:v>芥末</x:v>
      </x:c>
      <x:c r="D28" s="34" t="n">
        <x:v>2</x:v>
      </x:c>
      <x:c r="E28" s="34" t="n">
        <x:v>2</x:v>
      </x:c>
      <x:c r="F28" s="34" t="n">
        <x:v>100</x:v>
      </x:c>
      <x:c r="G28" s="34" t="n">
        <x:v>70</x:v>
      </x:c>
      <x:c r="H28" s="34" t="n">
        <x:v>0.28</x:v>
      </x:c>
      <x:c r="I28" s="34"/>
      <x:c r="J28" s="34"/>
      <x:c r="K28" s="36"/>
      <x:c r="L28" s="22" t="str">
        <x:v>龙爪菇</x:v>
      </x:c>
      <x:c r="M28" s="36" t="n">
        <x:v>0</x:v>
      </x:c>
      <x:c r="N28" s="22" t="str">
        <x:v>未匹配</x:v>
      </x:c>
    </x:row>
    <x:row r="29">
      <x:c r="A29" s="22" t="str">
        <x:v>小吃</x:v>
      </x:c>
      <x:c r="B29" s="22" t="str">
        <x:v>傣味柠檬虾</x:v>
      </x:c>
      <x:c r="C29" s="22" t="str">
        <x:v>傣味汁</x:v>
      </x:c>
      <x:c r="D29" s="34" t="n">
        <x:v>76</x:v>
      </x:c>
      <x:c r="E29" s="34" t="n">
        <x:v>76</x:v>
      </x:c>
      <x:c r="F29" s="34" t="n">
        <x:v>100</x:v>
      </x:c>
      <x:c r="G29" s="34" t="n">
        <x:v>20</x:v>
      </x:c>
      <x:c r="H29" s="34" t="n">
        <x:v>3.05</x:v>
      </x:c>
      <x:c r="I29" s="34"/>
      <x:c r="J29" s="34"/>
      <x:c r="K29" s="36"/>
      <x:c r="L29" s="22" t="str">
        <x:v>傣味舂鸡爪酱</x:v>
      </x:c>
      <x:c r="M29" s="36" t="n">
        <x:v>0.4444</x:v>
      </x:c>
      <x:c r="N29" s="22" t="str">
        <x:v>未匹配</x:v>
      </x:c>
    </x:row>
    <x:row r="30">
      <x:c r="A30" s="22" t="str">
        <x:v>小吃</x:v>
      </x:c>
      <x:c r="B30" s="22" t="str">
        <x:v>傣味柠檬虾</x:v>
      </x:c>
      <x:c r="C30" s="22" t="str">
        <x:v>柠檬汁</x:v>
      </x:c>
      <x:c r="D30" s="34" t="n">
        <x:v>15</x:v>
      </x:c>
      <x:c r="E30" s="34" t="n">
        <x:v>15</x:v>
      </x:c>
      <x:c r="F30" s="34" t="n">
        <x:v>100</x:v>
      </x:c>
      <x:c r="G30" s="34" t="n">
        <x:v>14.5</x:v>
      </x:c>
      <x:c r="H30" s="34" t="n">
        <x:v>0.44</x:v>
      </x:c>
      <x:c r="I30" s="34"/>
      <x:c r="J30" s="34"/>
      <x:c r="K30" s="36"/>
      <x:c r="L30" s="22" t="str">
        <x:v>黄柠檬</x:v>
      </x:c>
      <x:c r="M30" s="36" t="n">
        <x:v>0.6667</x:v>
      </x:c>
      <x:c r="N30" s="22" t="str">
        <x:v>未匹配</x:v>
      </x:c>
    </x:row>
    <x:row r="31">
      <x:c r="A31" s="22" t="str">
        <x:v>小吃</x:v>
      </x:c>
      <x:c r="B31" s="22" t="str">
        <x:v>琅琊土豆</x:v>
      </x:c>
      <x:c r="C31" s="22" t="str">
        <x:v>土豆</x:v>
      </x:c>
      <x:c r="D31" s="34" t="n">
        <x:v>350</x:v>
      </x:c>
      <x:c r="E31" s="34" t="n">
        <x:v>411</x:v>
      </x:c>
      <x:c r="F31" s="34" t="n">
        <x:v>85.1581508515815</x:v>
      </x:c>
      <x:c r="G31" s="34" t="n">
        <x:v>2</x:v>
      </x:c>
      <x:c r="H31" s="34" t="n">
        <x:v>1.7</x:v>
      </x:c>
      <x:c r="I31" s="34" t="n">
        <x:v>3.77</x:v>
      </x:c>
      <x:c r="J31" s="34" t="n">
        <x:v>18</x:v>
      </x:c>
      <x:c r="K31" s="36" t="n">
        <x:v>0.7905555555555556</x:v>
      </x:c>
      <x:c r="L31" s="22" t="str">
        <x:v>黑豆花</x:v>
      </x:c>
      <x:c r="M31" s="36" t="n">
        <x:v>0.4</x:v>
      </x:c>
      <x:c r="N31" s="22" t="str">
        <x:v>未匹配</x:v>
      </x:c>
    </x:row>
    <x:row r="32">
      <x:c r="A32" s="22" t="str">
        <x:v>小吃</x:v>
      </x:c>
      <x:c r="B32" s="22" t="str">
        <x:v>琅琊土豆</x:v>
      </x:c>
      <x:c r="C32" s="22" t="str">
        <x:v>薄荷</x:v>
      </x:c>
      <x:c r="D32" s="34" t="n">
        <x:v>10</x:v>
      </x:c>
      <x:c r="E32" s="34" t="n">
        <x:v>12.5</x:v>
      </x:c>
      <x:c r="F32" s="34" t="n">
        <x:v>80</x:v>
      </x:c>
      <x:c r="G32" s="34" t="n">
        <x:v>10</x:v>
      </x:c>
      <x:c r="H32" s="34" t="n">
        <x:v>0.25</x:v>
      </x:c>
      <x:c r="I32" s="34"/>
      <x:c r="J32" s="34"/>
      <x:c r="K32" s="36"/>
      <x:c r="L32" s="22" t="str">
        <x:v>龙爪菇</x:v>
      </x:c>
      <x:c r="M32" s="36" t="n">
        <x:v>0</x:v>
      </x:c>
      <x:c r="N32" s="22" t="str">
        <x:v>未匹配</x:v>
      </x:c>
    </x:row>
    <x:row r="33">
      <x:c r="A33" s="22" t="str">
        <x:v>小吃</x:v>
      </x:c>
      <x:c r="B33" s="22" t="str">
        <x:v>琅琊土豆</x:v>
      </x:c>
      <x:c r="C33" s="22" t="str">
        <x:v>折耳根碎</x:v>
      </x:c>
      <x:c r="D33" s="34" t="n">
        <x:v>10</x:v>
      </x:c>
      <x:c r="E33" s="34" t="n">
        <x:v>12.04</x:v>
      </x:c>
      <x:c r="F33" s="34" t="n">
        <x:v>83.05647840531562</x:v>
      </x:c>
      <x:c r="G33" s="34" t="n">
        <x:v>14</x:v>
      </x:c>
      <x:c r="H33" s="34" t="n">
        <x:v>0.37</x:v>
      </x:c>
      <x:c r="I33" s="34"/>
      <x:c r="J33" s="34"/>
      <x:c r="K33" s="36"/>
      <x:c r="L33" s="22" t="str">
        <x:v>金耳菌</x:v>
      </x:c>
      <x:c r="M33" s="36" t="n">
        <x:v>0.2857</x:v>
      </x:c>
      <x:c r="N33" s="22" t="str">
        <x:v>未匹配</x:v>
      </x:c>
    </x:row>
    <x:row r="34">
      <x:c r="A34" s="22" t="str">
        <x:v>小吃</x:v>
      </x:c>
      <x:c r="B34" s="22" t="str">
        <x:v>琅琊土豆</x:v>
      </x:c>
      <x:c r="C34" s="22" t="str">
        <x:v>香菜</x:v>
      </x:c>
      <x:c r="D34" s="34" t="n">
        <x:v>9</x:v>
      </x:c>
      <x:c r="E34" s="34" t="n">
        <x:v>10.9</x:v>
      </x:c>
      <x:c r="F34" s="34" t="n">
        <x:v>82.56880733944953</x:v>
      </x:c>
      <x:c r="G34" s="34" t="n">
        <x:v>5</x:v>
      </x:c>
      <x:c r="H34" s="34" t="n">
        <x:v>0.11</x:v>
      </x:c>
      <x:c r="I34" s="34"/>
      <x:c r="J34" s="34"/>
      <x:c r="K34" s="36"/>
      <x:c r="L34" s="22" t="str">
        <x:v>香椰乳</x:v>
      </x:c>
      <x:c r="M34" s="36" t="n">
        <x:v>0.4</x:v>
      </x:c>
      <x:c r="N34" s="22" t="str">
        <x:v>未匹配</x:v>
      </x:c>
    </x:row>
    <x:row r="35">
      <x:c r="A35" s="22" t="str">
        <x:v>小吃</x:v>
      </x:c>
      <x:c r="B35" s="22" t="str">
        <x:v>琅琊土豆</x:v>
      </x:c>
      <x:c r="C35" s="22" t="str">
        <x:v>花椒油</x:v>
      </x:c>
      <x:c r="D35" s="34" t="n">
        <x:v>5</x:v>
      </x:c>
      <x:c r="E35" s="34" t="n">
        <x:v>5</x:v>
      </x:c>
      <x:c r="F35" s="34" t="n">
        <x:v>100</x:v>
      </x:c>
      <x:c r="G35" s="34" t="n">
        <x:v>10</x:v>
      </x:c>
      <x:c r="H35" s="34" t="n">
        <x:v>0.2</x:v>
      </x:c>
      <x:c r="I35" s="34"/>
      <x:c r="J35" s="34"/>
      <x:c r="K35" s="36"/>
      <x:c r="L35" s="22" t="str">
        <x:v>黑鱼花</x:v>
      </x:c>
      <x:c r="M35" s="36" t="n">
        <x:v>0.3333</x:v>
      </x:c>
      <x:c r="N35" s="22" t="str">
        <x:v>未匹配</x:v>
      </x:c>
    </x:row>
    <x:row r="36">
      <x:c r="A36" s="22" t="str">
        <x:v>小吃</x:v>
      </x:c>
      <x:c r="B36" s="22" t="str">
        <x:v>琅琊土豆</x:v>
      </x:c>
      <x:c r="C36" s="22" t="str">
        <x:v>小米椒碎</x:v>
      </x:c>
      <x:c r="D36" s="34" t="n">
        <x:v>5</x:v>
      </x:c>
      <x:c r="E36" s="34" t="n">
        <x:v>5.32</x:v>
      </x:c>
      <x:c r="F36" s="34" t="n">
        <x:v>93.98496240601503</x:v>
      </x:c>
      <x:c r="G36" s="34" t="n">
        <x:v>18</x:v>
      </x:c>
      <x:c r="H36" s="34" t="n">
        <x:v>0.2</x:v>
      </x:c>
      <x:c r="I36" s="34"/>
      <x:c r="J36" s="34"/>
      <x:c r="K36" s="36"/>
      <x:c r="L36" s="22" t="str">
        <x:v>特级丘北辣椒碎</x:v>
      </x:c>
      <x:c r="M36" s="36" t="n">
        <x:v>0.3636</x:v>
      </x:c>
      <x:c r="N36" s="22" t="str">
        <x:v>未匹配</x:v>
      </x:c>
    </x:row>
    <x:row r="37">
      <x:c r="A37" s="22" t="str">
        <x:v>小吃</x:v>
      </x:c>
      <x:c r="B37" s="22" t="str">
        <x:v>琅琊土豆</x:v>
      </x:c>
      <x:c r="C37" s="22" t="str">
        <x:v>蒜末</x:v>
      </x:c>
      <x:c r="D37" s="34" t="n">
        <x:v>4</x:v>
      </x:c>
      <x:c r="E37" s="34" t="n">
        <x:v>4</x:v>
      </x:c>
      <x:c r="F37" s="34" t="n">
        <x:v>100</x:v>
      </x:c>
      <x:c r="G37" s="34" t="n">
        <x:v>5</x:v>
      </x:c>
      <x:c r="H37" s="34" t="n">
        <x:v>0.05</x:v>
      </x:c>
      <x:c r="I37" s="34"/>
      <x:c r="J37" s="34"/>
      <x:c r="K37" s="36"/>
      <x:c r="L37" s="22" t="str">
        <x:v>龙爪菇</x:v>
      </x:c>
      <x:c r="M37" s="36" t="n">
        <x:v>0</x:v>
      </x:c>
      <x:c r="N37" s="22" t="str">
        <x:v>未匹配</x:v>
      </x:c>
    </x:row>
    <x:row r="38">
      <x:c r="A38" s="22" t="str">
        <x:v>小吃</x:v>
      </x:c>
      <x:c r="B38" s="22" t="str">
        <x:v>琅琊土豆</x:v>
      </x:c>
      <x:c r="C38" s="22" t="str">
        <x:v>单山蘸水</x:v>
      </x:c>
      <x:c r="D38" s="34" t="n">
        <x:v>10</x:v>
      </x:c>
      <x:c r="E38" s="34" t="n">
        <x:v>10</x:v>
      </x:c>
      <x:c r="F38" s="34" t="n">
        <x:v>100</x:v>
      </x:c>
      <x:c r="G38" s="34" t="n">
        <x:v>21.25</x:v>
      </x:c>
      <x:c r="H38" s="34" t="n">
        <x:v>0.43</x:v>
      </x:c>
      <x:c r="I38" s="34"/>
      <x:c r="J38" s="34"/>
      <x:c r="K38" s="36"/>
      <x:c r="L38" s="22" t="str">
        <x:v>椰皇水</x:v>
      </x:c>
      <x:c r="M38" s="36" t="n">
        <x:v>0.2857</x:v>
      </x:c>
      <x:c r="N38" s="22" t="str">
        <x:v>未匹配</x:v>
      </x:c>
    </x:row>
    <x:row r="39">
      <x:c r="A39" s="22" t="str">
        <x:v>小吃</x:v>
      </x:c>
      <x:c r="B39" s="22" t="str">
        <x:v>琅琊土豆</x:v>
      </x:c>
      <x:c r="C39" s="22" t="str">
        <x:v>味极鲜</x:v>
      </x:c>
      <x:c r="D39" s="34" t="n">
        <x:v>15</x:v>
      </x:c>
      <x:c r="E39" s="34" t="n">
        <x:v>15</x:v>
      </x:c>
      <x:c r="F39" s="34" t="n">
        <x:v>100</x:v>
      </x:c>
      <x:c r="G39" s="34" t="n">
        <x:v>10</x:v>
      </x:c>
      <x:c r="H39" s="34" t="n">
        <x:v>0.2</x:v>
      </x:c>
      <x:c r="I39" s="34"/>
      <x:c r="J39" s="34"/>
      <x:c r="K39" s="36"/>
      <x:c r="L39" s="22" t="str">
        <x:v>美味牛肝菌（鲜菌）</x:v>
      </x:c>
      <x:c r="M39" s="36" t="n">
        <x:v>0.4</x:v>
      </x:c>
      <x:c r="N39" s="22" t="str">
        <x:v>未匹配</x:v>
      </x:c>
    </x:row>
    <x:row r="40">
      <x:c r="A40" s="22" t="str">
        <x:v>小吃</x:v>
      </x:c>
      <x:c r="B40" s="22" t="str">
        <x:v>琅琊土豆</x:v>
      </x:c>
      <x:c r="C40" s="22" t="str">
        <x:v>辣椒油</x:v>
      </x:c>
      <x:c r="D40" s="34" t="n">
        <x:v>3</x:v>
      </x:c>
      <x:c r="E40" s="34" t="n">
        <x:v>3</x:v>
      </x:c>
      <x:c r="F40" s="34" t="n">
        <x:v>100</x:v>
      </x:c>
      <x:c r="G40" s="34" t="n">
        <x:v>23.5</x:v>
      </x:c>
      <x:c r="H40" s="34" t="n">
        <x:v>0.15</x:v>
      </x:c>
      <x:c r="I40" s="34"/>
      <x:c r="J40" s="34"/>
      <x:c r="K40" s="36"/>
      <x:c r="L40" s="22" t="str">
        <x:v>特级丘北辣椒</x:v>
      </x:c>
      <x:c r="M40" s="36" t="n">
        <x:v>0.4444</x:v>
      </x:c>
      <x:c r="N40" s="22" t="str">
        <x:v>未匹配</x:v>
      </x:c>
    </x:row>
    <x:row r="41">
      <x:c r="A41" s="22" t="str">
        <x:v>小吃</x:v>
      </x:c>
      <x:c r="B41" s="22" t="str">
        <x:v>琅琊土豆</x:v>
      </x:c>
      <x:c r="C41" s="22" t="str">
        <x:v>生抽</x:v>
      </x:c>
      <x:c r="D41" s="34" t="n">
        <x:v>20</x:v>
      </x:c>
      <x:c r="E41" s="34" t="n">
        <x:v>20</x:v>
      </x:c>
      <x:c r="F41" s="34" t="n">
        <x:v>100</x:v>
      </x:c>
      <x:c r="G41" s="34" t="n">
        <x:v>2.7</x:v>
      </x:c>
      <x:c r="H41" s="34" t="n">
        <x:v>0.11</x:v>
      </x:c>
      <x:c r="I41" s="34"/>
      <x:c r="J41" s="34"/>
      <x:c r="K41" s="36"/>
      <x:c r="L41" s="22" t="str">
        <x:v>李锦记生抽</x:v>
      </x:c>
      <x:c r="M41" s="36" t="n">
        <x:v>0.82</x:v>
      </x:c>
      <x:c r="N41" s="22" t="str">
        <x:v>可能匹配待确认</x:v>
      </x:c>
    </x:row>
    <x:row r="42">
      <x:c r="A42" s="22" t="str">
        <x:v>小吃</x:v>
      </x:c>
      <x:c r="B42" s="22" t="str">
        <x:v>爆味见手青</x:v>
      </x:c>
      <x:c r="C42" s="22" t="str">
        <x:v>丘北干辣椒</x:v>
      </x:c>
      <x:c r="D42" s="34" t="n">
        <x:v>6</x:v>
      </x:c>
      <x:c r="E42" s="34" t="n">
        <x:v>6</x:v>
      </x:c>
      <x:c r="F42" s="34" t="n">
        <x:v>100</x:v>
      </x:c>
      <x:c r="G42" s="34" t="n">
        <x:v>18.75</x:v>
      </x:c>
      <x:c r="H42" s="34" t="n">
        <x:v>0.23</x:v>
      </x:c>
      <x:c r="I42" s="34" t="n">
        <x:v>28.169999999999998</x:v>
      </x:c>
      <x:c r="J42" s="34" t="n">
        <x:v>159</x:v>
      </x:c>
      <x:c r="K42" s="36" t="n">
        <x:v>0.8222</x:v>
      </x:c>
      <x:c r="L42" s="22" t="str">
        <x:v>特级丘北辣椒</x:v>
      </x:c>
      <x:c r="M42" s="36" t="n">
        <x:v>0.7273</x:v>
      </x:c>
      <x:c r="N42" s="22" t="str">
        <x:v>可能匹配待确认</x:v>
      </x:c>
    </x:row>
    <x:row r="43">
      <x:c r="A43" s="22" t="str">
        <x:v>小吃</x:v>
      </x:c>
      <x:c r="B43" s="22" t="str">
        <x:v>爆味见手青</x:v>
      </x:c>
      <x:c r="C43" s="22" t="str">
        <x:v>青椒片</x:v>
      </x:c>
      <x:c r="D43" s="34" t="n">
        <x:v>40</x:v>
      </x:c>
      <x:c r="E43" s="34" t="n">
        <x:v>43</x:v>
      </x:c>
      <x:c r="F43" s="34" t="n">
        <x:v>93.02325581395348</x:v>
      </x:c>
      <x:c r="G43" s="34" t="n">
        <x:v>5</x:v>
      </x:c>
      <x:c r="H43" s="34" t="n">
        <x:v>0.4</x:v>
      </x:c>
      <x:c r="I43" s="34"/>
      <x:c r="J43" s="34"/>
      <x:c r="K43" s="36"/>
      <x:c r="L43" s="22" t="str">
        <x:v>鲷鱼片</x:v>
      </x:c>
      <x:c r="M43" s="36" t="n">
        <x:v>0.3333</x:v>
      </x:c>
      <x:c r="N43" s="22" t="str">
        <x:v>未匹配</x:v>
      </x:c>
    </x:row>
    <x:row r="44">
      <x:c r="A44" s="22" t="str">
        <x:v>小吃</x:v>
      </x:c>
      <x:c r="B44" s="22" t="str">
        <x:v>爆味见手青</x:v>
      </x:c>
      <x:c r="C44" s="22" t="str">
        <x:v>盐</x:v>
      </x:c>
      <x:c r="D44" s="34" t="n">
        <x:v>1</x:v>
      </x:c>
      <x:c r="E44" s="34" t="n">
        <x:v>1</x:v>
      </x:c>
      <x:c r="F44" s="34" t="n">
        <x:v>100</x:v>
      </x:c>
      <x:c r="G44" s="34" t="n">
        <x:v>1.5</x:v>
      </x:c>
      <x:c r="H44" s="34" t="n">
        <x:v>0.01</x:v>
      </x:c>
      <x:c r="I44" s="34"/>
      <x:c r="J44" s="34"/>
      <x:c r="K44" s="36"/>
      <x:c r="L44" s="22" t="str">
        <x:v>桶装盐渍红乳牛肝菌</x:v>
      </x:c>
      <x:c r="M44" s="36" t="n">
        <x:v>0.2</x:v>
      </x:c>
      <x:c r="N44" s="22" t="str">
        <x:v>未匹配</x:v>
      </x:c>
    </x:row>
    <x:row r="45">
      <x:c r="A45" s="22" t="str">
        <x:v>小吃</x:v>
      </x:c>
      <x:c r="B45" s="22" t="str">
        <x:v>爆味见手青</x:v>
      </x:c>
      <x:c r="C45" s="22" t="str">
        <x:v>蒜片</x:v>
      </x:c>
      <x:c r="D45" s="34" t="n">
        <x:v>30</x:v>
      </x:c>
      <x:c r="E45" s="34" t="n">
        <x:v>30</x:v>
      </x:c>
      <x:c r="F45" s="34" t="n">
        <x:v>100</x:v>
      </x:c>
      <x:c r="G45" s="34" t="n">
        <x:v>5</x:v>
      </x:c>
      <x:c r="H45" s="34" t="n">
        <x:v>0.3</x:v>
      </x:c>
      <x:c r="I45" s="34"/>
      <x:c r="J45" s="34"/>
      <x:c r="K45" s="36"/>
      <x:c r="L45" s="22" t="str">
        <x:v>鲷鱼片</x:v>
      </x:c>
      <x:c r="M45" s="36" t="n">
        <x:v>0.4</x:v>
      </x:c>
      <x:c r="N45" s="22" t="str">
        <x:v>未匹配</x:v>
      </x:c>
    </x:row>
    <x:row r="46">
      <x:c r="A46" s="22" t="str">
        <x:v>小吃</x:v>
      </x:c>
      <x:c r="B46" s="22" t="str">
        <x:v>爆味见手青</x:v>
      </x:c>
      <x:c r="C46" s="22" t="str">
        <x:v>菜籽油</x:v>
      </x:c>
      <x:c r="D46" s="34" t="n">
        <x:v>40</x:v>
      </x:c>
      <x:c r="E46" s="34" t="n">
        <x:v>40</x:v>
      </x:c>
      <x:c r="F46" s="34" t="n">
        <x:v>100</x:v>
      </x:c>
      <x:c r="G46" s="34" t="n">
        <x:v>5.9</x:v>
      </x:c>
      <x:c r="H46" s="34" t="n">
        <x:v>0.48</x:v>
      </x:c>
      <x:c r="I46" s="34"/>
      <x:c r="J46" s="34"/>
      <x:c r="K46" s="36"/>
      <x:c r="L46" s="22" t="str">
        <x:v>野菜糍粑</x:v>
      </x:c>
      <x:c r="M46" s="36" t="n">
        <x:v>0.2857</x:v>
      </x:c>
      <x:c r="N46" s="22" t="str">
        <x:v>未匹配</x:v>
      </x:c>
    </x:row>
    <x:row r="47">
      <x:c r="A47" s="22" t="str">
        <x:v>小吃</x:v>
      </x:c>
      <x:c r="B47" s="22" t="str">
        <x:v>爆味见手青</x:v>
      </x:c>
      <x:c r="C47" s="22" t="str">
        <x:v>见手青</x:v>
      </x:c>
      <x:c r="D47" s="34" t="n">
        <x:v>200</x:v>
      </x:c>
      <x:c r="E47" s="34" t="n">
        <x:v>222</x:v>
      </x:c>
      <x:c r="F47" s="34" t="n">
        <x:v>90.09009009009009</x:v>
      </x:c>
      <x:c r="G47" s="34" t="n">
        <x:v>60</x:v>
      </x:c>
      <x:c r="H47" s="34" t="n">
        <x:v>26.7</x:v>
      </x:c>
      <x:c r="I47" s="34"/>
      <x:c r="J47" s="34"/>
      <x:c r="K47" s="36"/>
      <x:c r="L47" s="22" t="str">
        <x:v>见手青啤酒</x:v>
      </x:c>
      <x:c r="M47" s="36" t="n">
        <x:v>0.86</x:v>
      </x:c>
      <x:c r="N47" s="22" t="str">
        <x:v>高相似待确认</x:v>
      </x:c>
    </x:row>
    <x:row r="48">
      <x:c r="A48" s="22" t="str">
        <x:v>小吃</x:v>
      </x:c>
      <x:c r="B48" s="22" t="str">
        <x:v>爆味见手青</x:v>
      </x:c>
      <x:c r="C48" s="22" t="str">
        <x:v>味粉</x:v>
      </x:c>
      <x:c r="D48" s="34" t="n">
        <x:v>1.5</x:v>
      </x:c>
      <x:c r="E48" s="34" t="n">
        <x:v>1.5</x:v>
      </x:c>
      <x:c r="F48" s="34" t="n">
        <x:v>100</x:v>
      </x:c>
      <x:c r="G48" s="34" t="n">
        <x:v>14.3</x:v>
      </x:c>
      <x:c r="H48" s="34" t="n">
        <x:v>0.05</x:v>
      </x:c>
      <x:c r="I48" s="34"/>
      <x:c r="J48" s="34"/>
      <x:c r="K48" s="36"/>
      <x:c r="L48" s="22" t="str">
        <x:v>汤底调味粉·滇界定制</x:v>
      </x:c>
      <x:c r="M48" s="36" t="n">
        <x:v>0.7844</x:v>
      </x:c>
      <x:c r="N48" s="22" t="str">
        <x:v>可能匹配待确认</x:v>
      </x:c>
    </x:row>
    <x:row r="49">
      <x:c r="A49" s="22" t="str">
        <x:v>小吃</x:v>
      </x:c>
      <x:c r="B49" s="22" t="str">
        <x:v>傣味海螺片</x:v>
      </x:c>
      <x:c r="C49" s="22" t="str">
        <x:v>海螺片</x:v>
      </x:c>
      <x:c r="D49" s="34" t="n">
        <x:v>100</x:v>
      </x:c>
      <x:c r="E49" s="34" t="n">
        <x:v>150</x:v>
      </x:c>
      <x:c r="F49" s="34" t="n">
        <x:v>66.66666666666667</x:v>
      </x:c>
      <x:c r="G49" s="34" t="n">
        <x:v>20.83</x:v>
      </x:c>
      <x:c r="H49" s="34" t="n">
        <x:v>6.25</x:v>
      </x:c>
      <x:c r="I49" s="34"/>
      <x:c r="J49" s="34"/>
      <x:c r="K49" s="36"/>
      <x:c r="L49" s="22" t="str">
        <x:v>海螺片</x:v>
      </x:c>
      <x:c r="M49" s="36" t="n">
        <x:v>1</x:v>
      </x:c>
      <x:c r="N49" s="22" t="str">
        <x:v>名称一致</x:v>
      </x:c>
    </x:row>
    <x:row r="50">
      <x:c r="A50" s="22" t="str">
        <x:v>小吃</x:v>
      </x:c>
      <x:c r="B50" s="22" t="str">
        <x:v>傣味海螺片</x:v>
      </x:c>
      <x:c r="C50" s="22" t="str">
        <x:v>大香菜</x:v>
      </x:c>
      <x:c r="D50" s="34" t="n">
        <x:v>3</x:v>
      </x:c>
      <x:c r="E50" s="34" t="n">
        <x:v>3.62</x:v>
      </x:c>
      <x:c r="F50" s="34" t="n">
        <x:v>82.87292817679557</x:v>
      </x:c>
      <x:c r="G50" s="34" t="n">
        <x:v>18</x:v>
      </x:c>
      <x:c r="H50" s="34" t="n">
        <x:v>0.13</x:v>
      </x:c>
      <x:c r="I50" s="34"/>
      <x:c r="J50" s="34"/>
      <x:c r="K50" s="36"/>
      <x:c r="L50" s="22" t="str">
        <x:v>大米龙（奶香雪花）</x:v>
      </x:c>
      <x:c r="M50" s="36" t="n">
        <x:v>0.4</x:v>
      </x:c>
      <x:c r="N50" s="22" t="str">
        <x:v>未匹配</x:v>
      </x:c>
    </x:row>
    <x:row r="51">
      <x:c r="A51" s="22" t="str">
        <x:v>小吃</x:v>
      </x:c>
      <x:c r="B51" s="22" t="str">
        <x:v>傣味海螺片</x:v>
      </x:c>
      <x:c r="C51" s="22" t="str">
        <x:v>小米椒</x:v>
      </x:c>
      <x:c r="D51" s="34" t="n">
        <x:v>8</x:v>
      </x:c>
      <x:c r="E51" s="34" t="n">
        <x:v>8.5</x:v>
      </x:c>
      <x:c r="F51" s="34" t="n">
        <x:v>94.11764705882352</x:v>
      </x:c>
      <x:c r="G51" s="34" t="n">
        <x:v>18</x:v>
      </x:c>
      <x:c r="H51" s="34" t="n">
        <x:v>0.3</x:v>
      </x:c>
      <x:c r="I51" s="34"/>
      <x:c r="J51" s="34"/>
      <x:c r="K51" s="36"/>
      <x:c r="L51" s="22" t="str">
        <x:v>花生米</x:v>
      </x:c>
      <x:c r="M51" s="36" t="n">
        <x:v>0.3333</x:v>
      </x:c>
      <x:c r="N51" s="22" t="str">
        <x:v>未匹配</x:v>
      </x:c>
    </x:row>
    <x:row r="52">
      <x:c r="A52" s="22" t="str">
        <x:v>小吃</x:v>
      </x:c>
      <x:c r="B52" s="22" t="str">
        <x:v>傣味海螺片</x:v>
      </x:c>
      <x:c r="C52" s="22" t="str">
        <x:v>调味糖浆</x:v>
      </x:c>
      <x:c r="D52" s="34"/>
      <x:c r="E52" s="34"/>
      <x:c r="F52" s="34"/>
      <x:c r="G52" s="34"/>
      <x:c r="H52" s="34"/>
      <x:c r="I52" s="34"/>
      <x:c r="J52" s="34"/>
      <x:c r="K52" s="36"/>
      <x:c r="L52" s="22" t="str">
        <x:v>调味糖浆（冰糖糖浆）</x:v>
      </x:c>
      <x:c r="M52" s="36" t="n">
        <x:v>0.84</x:v>
      </x:c>
      <x:c r="N52" s="22" t="str">
        <x:v>可能匹配待确认</x:v>
      </x:c>
    </x:row>
    <x:row r="53">
      <x:c r="A53" s="22" t="str">
        <x:v>小吃</x:v>
      </x:c>
      <x:c r="B53" s="22" t="str">
        <x:v>傣味海螺片</x:v>
      </x:c>
      <x:c r="C53" s="22" t="str">
        <x:v>木瓜丝</x:v>
      </x:c>
      <x:c r="D53" s="34" t="n">
        <x:v>18</x:v>
      </x:c>
      <x:c r="E53" s="34" t="n">
        <x:v>20</x:v>
      </x:c>
      <x:c r="F53" s="34" t="n">
        <x:v>90</x:v>
      </x:c>
      <x:c r="G53" s="34" t="n">
        <x:v>7</x:v>
      </x:c>
      <x:c r="H53" s="34" t="n">
        <x:v>0.28</x:v>
      </x:c>
      <x:c r="I53" s="34"/>
      <x:c r="J53" s="34"/>
      <x:c r="K53" s="36"/>
      <x:c r="L53" s="22" t="str">
        <x:v>冷冻酸木瓜片</x:v>
      </x:c>
      <x:c r="M53" s="36" t="n">
        <x:v>0.4444</x:v>
      </x:c>
      <x:c r="N53" s="22" t="str">
        <x:v>未匹配</x:v>
      </x:c>
    </x:row>
    <x:row r="54">
      <x:c r="A54" s="22" t="str">
        <x:v>小吃</x:v>
      </x:c>
      <x:c r="B54" s="22" t="str">
        <x:v>傣味海螺片</x:v>
      </x:c>
      <x:c r="C54" s="22" t="str">
        <x:v>芥末</x:v>
      </x:c>
      <x:c r="D54" s="34" t="n">
        <x:v>1</x:v>
      </x:c>
      <x:c r="E54" s="34" t="n">
        <x:v>1</x:v>
      </x:c>
      <x:c r="F54" s="34" t="n">
        <x:v>100</x:v>
      </x:c>
      <x:c r="G54" s="34" t="n">
        <x:v>70</x:v>
      </x:c>
      <x:c r="H54" s="34" t="n">
        <x:v>0.14</x:v>
      </x:c>
      <x:c r="I54" s="34"/>
      <x:c r="J54" s="34"/>
      <x:c r="K54" s="36"/>
      <x:c r="L54" s="22" t="str">
        <x:v>龙爪菇</x:v>
      </x:c>
      <x:c r="M54" s="36" t="n">
        <x:v>0</x:v>
      </x:c>
      <x:c r="N54" s="22" t="str">
        <x:v>未匹配</x:v>
      </x:c>
    </x:row>
    <x:row r="55">
      <x:c r="A55" s="22" t="str">
        <x:v>小吃</x:v>
      </x:c>
      <x:c r="B55" s="22" t="str">
        <x:v>傣味海螺片</x:v>
      </x:c>
      <x:c r="C55" s="22" t="str">
        <x:v>蒜水</x:v>
      </x:c>
      <x:c r="D55" s="34" t="n">
        <x:v>10</x:v>
      </x:c>
      <x:c r="E55" s="34" t="n">
        <x:v>10</x:v>
      </x:c>
      <x:c r="F55" s="34" t="n">
        <x:v>100</x:v>
      </x:c>
      <x:c r="G55" s="34" t="n">
        <x:v>5</x:v>
      </x:c>
      <x:c r="H55" s="34" t="n">
        <x:v>0.1</x:v>
      </x:c>
      <x:c r="I55" s="34"/>
      <x:c r="J55" s="34"/>
      <x:c r="K55" s="36"/>
      <x:c r="L55" s="22" t="str">
        <x:v>椰皇水</x:v>
      </x:c>
      <x:c r="M55" s="36" t="n">
        <x:v>0.4</x:v>
      </x:c>
      <x:c r="N55" s="22" t="str">
        <x:v>未匹配</x:v>
      </x:c>
    </x:row>
    <x:row r="56">
      <x:c r="A56" s="22" t="str">
        <x:v>小吃</x:v>
      </x:c>
      <x:c r="B56" s="22" t="str">
        <x:v>傣味海螺片</x:v>
      </x:c>
      <x:c r="C56" s="22" t="str">
        <x:v>傣味酱汁</x:v>
      </x:c>
      <x:c r="D56" s="34" t="n">
        <x:v>50</x:v>
      </x:c>
      <x:c r="E56" s="34" t="n">
        <x:v>50</x:v>
      </x:c>
      <x:c r="F56" s="34" t="n">
        <x:v>100</x:v>
      </x:c>
      <x:c r="G56" s="34" t="n">
        <x:v>20</x:v>
      </x:c>
      <x:c r="H56" s="34" t="n">
        <x:v>2</x:v>
      </x:c>
      <x:c r="I56" s="34"/>
      <x:c r="J56" s="34"/>
      <x:c r="K56" s="36"/>
      <x:c r="L56" s="22" t="str">
        <x:v>傣味舂鸡爪酱</x:v>
      </x:c>
      <x:c r="M56" s="36" t="n">
        <x:v>0.6</x:v>
      </x:c>
      <x:c r="N56" s="22" t="str">
        <x:v>未匹配</x:v>
      </x:c>
    </x:row>
    <x:row r="57">
      <x:c r="A57" s="22" t="str">
        <x:v>小吃</x:v>
      </x:c>
      <x:c r="B57" s="22" t="str">
        <x:v>傣味海螺片</x:v>
      </x:c>
      <x:c r="C57" s="22" t="str">
        <x:v>青柠汁</x:v>
      </x:c>
      <x:c r="D57" s="34" t="n">
        <x:v>15</x:v>
      </x:c>
      <x:c r="E57" s="34" t="n">
        <x:v>15</x:v>
      </x:c>
      <x:c r="F57" s="34" t="n">
        <x:v>100</x:v>
      </x:c>
      <x:c r="G57" s="34" t="n">
        <x:v>14.5</x:v>
      </x:c>
      <x:c r="H57" s="34" t="n">
        <x:v>0.44</x:v>
      </x:c>
      <x:c r="I57" s="34"/>
      <x:c r="J57" s="34"/>
      <x:c r="K57" s="36"/>
      <x:c r="L57" s="22" t="str">
        <x:v>甄选青提汁</x:v>
      </x:c>
      <x:c r="M57" s="36" t="n">
        <x:v>0.5</x:v>
      </x:c>
      <x:c r="N57" s="22" t="str">
        <x:v>未匹配</x:v>
      </x:c>
    </x:row>
    <x:row r="58">
      <x:c r="A58" s="22" t="str">
        <x:v>荤菜</x:v>
      </x:c>
      <x:c r="B58" s="22" t="str">
        <x:v>寻味黄牛干巴</x:v>
      </x:c>
      <x:c r="C58" s="22" t="str">
        <x:v>牛干巴</x:v>
      </x:c>
      <x:c r="D58" s="34" t="n">
        <x:v>80</x:v>
      </x:c>
      <x:c r="E58" s="34" t="n">
        <x:v>82</x:v>
      </x:c>
      <x:c r="F58" s="34" t="n">
        <x:v>97.5609756097561</x:v>
      </x:c>
      <x:c r="G58" s="34" t="n">
        <x:v>76</x:v>
      </x:c>
      <x:c r="H58" s="34" t="n">
        <x:v>12.46</x:v>
      </x:c>
      <x:c r="I58" s="34" t="n">
        <x:v>12.620000000000001</x:v>
      </x:c>
      <x:c r="J58" s="34" t="n">
        <x:v>55</x:v>
      </x:c>
      <x:c r="K58" s="36" t="n">
        <x:v>77.05454545454543</x:v>
      </x:c>
      <x:c r="L58" s="22" t="str">
        <x:v>云南牛干巴</x:v>
      </x:c>
      <x:c r="M58" s="36" t="n">
        <x:v>0.86</x:v>
      </x:c>
      <x:c r="N58" s="22" t="str">
        <x:v>高相似待确认</x:v>
      </x:c>
    </x:row>
    <x:row r="59">
      <x:c r="A59" s="22" t="str">
        <x:v>荤菜</x:v>
      </x:c>
      <x:c r="B59" s="22" t="str">
        <x:v>寻味黄牛干巴</x:v>
      </x:c>
      <x:c r="C59" s="22" t="str">
        <x:v>花草</x:v>
      </x:c>
      <x:c r="D59" s="34" t="n">
        <x:v>5</x:v>
      </x:c>
      <x:c r="E59" s="34" t="n">
        <x:v>8</x:v>
      </x:c>
      <x:c r="F59" s="34" t="n">
        <x:v>62.5</x:v>
      </x:c>
      <x:c r="G59" s="34" t="n">
        <x:v>10</x:v>
      </x:c>
      <x:c r="H59" s="34" t="n">
        <x:v>0.16</x:v>
      </x:c>
      <x:c r="I59" s="34"/>
      <x:c r="J59" s="34"/>
      <x:c r="K59" s="36"/>
      <x:c r="L59" s="22" t="str">
        <x:v>黑鱼花</x:v>
      </x:c>
      <x:c r="M59" s="36" t="n">
        <x:v>0.4</x:v>
      </x:c>
      <x:c r="N59" s="22" t="str">
        <x:v>未匹配</x:v>
      </x:c>
    </x:row>
    <x:row r="60">
      <x:c r="A60" s="22" t="str">
        <x:v>荤菜</x:v>
      </x:c>
      <x:c r="B60" s="22" t="str">
        <x:v>洱海虎虾滑</x:v>
      </x:c>
      <x:c r="C60" s="22" t="str">
        <x:v>虾滑</x:v>
      </x:c>
      <x:c r="D60" s="34" t="n">
        <x:v>120</x:v>
      </x:c>
      <x:c r="E60" s="34" t="n">
        <x:v>121</x:v>
      </x:c>
      <x:c r="F60" s="34" t="n">
        <x:v>99.17355371900827</x:v>
      </x:c>
      <x:c r="G60" s="34" t="n">
        <x:v>44.4</x:v>
      </x:c>
      <x:c r="H60" s="34" t="n">
        <x:v>10.84</x:v>
      </x:c>
      <x:c r="I60" s="34" t="n">
        <x:v>11</x:v>
      </x:c>
      <x:c r="J60" s="34" t="n">
        <x:v>36</x:v>
      </x:c>
      <x:c r="K60" s="36" t="n">
        <x:v>69.44444444444444</x:v>
      </x:c>
      <x:c r="L60" s="22" t="str">
        <x:v>3A黑虎虾滑</x:v>
      </x:c>
      <x:c r="M60" s="36" t="n">
        <x:v>0.8067</x:v>
      </x:c>
      <x:c r="N60" s="22" t="str">
        <x:v>可能匹配待确认</x:v>
      </x:c>
    </x:row>
    <x:row r="61">
      <x:c r="A61" s="22" t="str">
        <x:v>荤菜</x:v>
      </x:c>
      <x:c r="B61" s="22" t="str">
        <x:v>洱海虎虾滑</x:v>
      </x:c>
      <x:c r="C61" s="22" t="str">
        <x:v>花草</x:v>
      </x:c>
      <x:c r="D61" s="34" t="n">
        <x:v>5</x:v>
      </x:c>
      <x:c r="E61" s="34" t="n">
        <x:v>8</x:v>
      </x:c>
      <x:c r="F61" s="34" t="n">
        <x:v>62.5</x:v>
      </x:c>
      <x:c r="G61" s="34" t="n">
        <x:v>10</x:v>
      </x:c>
      <x:c r="H61" s="34" t="n">
        <x:v>0.16</x:v>
      </x:c>
      <x:c r="I61" s="34"/>
      <x:c r="J61" s="34"/>
      <x:c r="K61" s="36"/>
      <x:c r="L61" s="22" t="str">
        <x:v>黑鱼花</x:v>
      </x:c>
      <x:c r="M61" s="36" t="n">
        <x:v>0.4</x:v>
      </x:c>
      <x:c r="N61" s="22" t="str">
        <x:v>未匹配</x:v>
      </x:c>
    </x:row>
    <x:row r="62">
      <x:c r="A62" s="22" t="str">
        <x:v>荤菜</x:v>
      </x:c>
      <x:c r="B62" s="22" t="str">
        <x:v>奶香雪花牛</x:v>
      </x:c>
      <x:c r="C62" s="22" t="str">
        <x:v>大米龙</x:v>
      </x:c>
      <x:c r="D62" s="34" t="n">
        <x:v>130</x:v>
      </x:c>
      <x:c r="E62" s="34" t="n">
        <x:v>138</x:v>
      </x:c>
      <x:c r="F62" s="34" t="n">
        <x:v>94.20289855072464</x:v>
      </x:c>
      <x:c r="G62" s="34" t="n">
        <x:v>76</x:v>
      </x:c>
      <x:c r="H62" s="34" t="n">
        <x:v>22</x:v>
      </x:c>
      <x:c r="I62" s="34" t="n">
        <x:v>22.16</x:v>
      </x:c>
      <x:c r="J62" s="34" t="n">
        <x:v>66</x:v>
      </x:c>
      <x:c r="K62" s="36" t="n">
        <x:v>66.42424242424242</x:v>
      </x:c>
      <x:c r="L62" s="22" t="str">
        <x:v>大米龙（奶香雪花）</x:v>
      </x:c>
      <x:c r="M62" s="36" t="n">
        <x:v>0.8257</x:v>
      </x:c>
      <x:c r="N62" s="22" t="str">
        <x:v>可能匹配待确认</x:v>
      </x:c>
    </x:row>
    <x:row r="63">
      <x:c r="A63" s="22" t="str">
        <x:v>荤菜</x:v>
      </x:c>
      <x:c r="B63" s="22" t="str">
        <x:v>奶香雪花牛</x:v>
      </x:c>
      <x:c r="C63" s="22" t="str">
        <x:v>花草</x:v>
      </x:c>
      <x:c r="D63" s="34" t="n">
        <x:v>5</x:v>
      </x:c>
      <x:c r="E63" s="34" t="n">
        <x:v>8</x:v>
      </x:c>
      <x:c r="F63" s="34" t="n">
        <x:v>62.5</x:v>
      </x:c>
      <x:c r="G63" s="34" t="n">
        <x:v>10</x:v>
      </x:c>
      <x:c r="H63" s="34" t="n">
        <x:v>0.16</x:v>
      </x:c>
      <x:c r="I63" s="34"/>
      <x:c r="J63" s="34"/>
      <x:c r="K63" s="36"/>
      <x:c r="L63" s="22" t="str">
        <x:v>黑鱼花</x:v>
      </x:c>
      <x:c r="M63" s="36" t="n">
        <x:v>0.4</x:v>
      </x:c>
      <x:c r="N63" s="22" t="str">
        <x:v>未匹配</x:v>
      </x:c>
    </x:row>
    <x:row r="64">
      <x:c r="A64" s="22" t="str">
        <x:v>荤菜</x:v>
      </x:c>
      <x:c r="B64" s="22" t="str">
        <x:v>木姜子鲜牛肉</x:v>
      </x:c>
      <x:c r="C64" s="22" t="str">
        <x:v>西冷</x:v>
      </x:c>
      <x:c r="D64" s="34" t="n">
        <x:v>120</x:v>
      </x:c>
      <x:c r="E64" s="34" t="n">
        <x:v>120</x:v>
      </x:c>
      <x:c r="F64" s="34" t="n">
        <x:v>100</x:v>
      </x:c>
      <x:c r="G64" s="34" t="str">
        <x:v>12/袋</x:v>
      </x:c>
      <x:c r="H64" s="34" t="n">
        <x:v>12</x:v>
      </x:c>
      <x:c r="I64" s="34" t="n">
        <x:v>12.22</x:v>
      </x:c>
      <x:c r="J64" s="34" t="n">
        <x:v>46</x:v>
      </x:c>
      <x:c r="K64" s="36" t="n">
        <x:v>73.43478260869566</x:v>
      </x:c>
      <x:c r="L64" s="22" t="str">
        <x:v>鲜嫩西冷</x:v>
      </x:c>
      <x:c r="M64" s="36" t="n">
        <x:v>0.84</x:v>
      </x:c>
      <x:c r="N64" s="22" t="str">
        <x:v>可能匹配待确认</x:v>
      </x:c>
    </x:row>
    <x:row r="65">
      <x:c r="A65" s="22" t="str">
        <x:v>荤菜</x:v>
      </x:c>
      <x:c r="B65" s="22" t="str">
        <x:v>木姜子鲜牛肉</x:v>
      </x:c>
      <x:c r="C65" s="22" t="str">
        <x:v>木姜子</x:v>
      </x:c>
      <x:c r="D65" s="34" t="n">
        <x:v>5</x:v>
      </x:c>
      <x:c r="E65" s="34" t="n">
        <x:v>5.5</x:v>
      </x:c>
      <x:c r="F65" s="34" t="n">
        <x:v>90.9090909090909</x:v>
      </x:c>
      <x:c r="G65" s="34" t="n">
        <x:v>20</x:v>
      </x:c>
      <x:c r="H65" s="34" t="n">
        <x:v>0.22</x:v>
      </x:c>
      <x:c r="I65" s="34"/>
      <x:c r="J65" s="34"/>
      <x:c r="K65" s="36"/>
      <x:c r="L65" s="22" t="str">
        <x:v>木姜子提取液</x:v>
      </x:c>
      <x:c r="M65" s="36" t="n">
        <x:v>0.84</x:v>
      </x:c>
      <x:c r="N65" s="22" t="str">
        <x:v>可能匹配待确认</x:v>
      </x:c>
    </x:row>
    <x:row r="66">
      <x:c r="A66" s="22" t="str">
        <x:v>荤菜</x:v>
      </x:c>
      <x:c r="B66" s="22" t="str">
        <x:v>和牛M5·大地飞雪</x:v>
      </x:c>
      <x:c r="C66" s="22" t="str">
        <x:v>保乐肩</x:v>
      </x:c>
      <x:c r="D66" s="34" t="n">
        <x:v>130</x:v>
      </x:c>
      <x:c r="E66" s="34" t="n">
        <x:v>140</x:v>
      </x:c>
      <x:c r="F66" s="34" t="n">
        <x:v>92.85714285714286</x:v>
      </x:c>
      <x:c r="G66" s="34" t="n">
        <x:v>81</x:v>
      </x:c>
      <x:c r="H66" s="34" t="n">
        <x:v>23.4</x:v>
      </x:c>
      <x:c r="I66" s="34" t="n">
        <x:v>23.56</x:v>
      </x:c>
      <x:c r="J66" s="34" t="n">
        <x:v>55</x:v>
      </x:c>
      <x:c r="K66" s="36" t="n">
        <x:v>57.163636363636364</x:v>
      </x:c>
      <x:c r="L66" s="22" t="str">
        <x:v>保乐肩（大地飞雪）</x:v>
      </x:c>
      <x:c r="M66" s="36" t="n">
        <x:v>0.8257</x:v>
      </x:c>
      <x:c r="N66" s="22" t="str">
        <x:v>可能匹配待确认</x:v>
      </x:c>
    </x:row>
    <x:row r="67">
      <x:c r="A67" s="22" t="str">
        <x:v>荤菜</x:v>
      </x:c>
      <x:c r="B67" s="22" t="str">
        <x:v>和牛M5·大地飞雪</x:v>
      </x:c>
      <x:c r="C67" s="22" t="str">
        <x:v>花草</x:v>
      </x:c>
      <x:c r="D67" s="34" t="n">
        <x:v>5</x:v>
      </x:c>
      <x:c r="E67" s="34" t="n">
        <x:v>8</x:v>
      </x:c>
      <x:c r="F67" s="34" t="n">
        <x:v>62.5</x:v>
      </x:c>
      <x:c r="G67" s="34" t="n">
        <x:v>10</x:v>
      </x:c>
      <x:c r="H67" s="34" t="n">
        <x:v>0.16</x:v>
      </x:c>
      <x:c r="I67" s="34"/>
      <x:c r="J67" s="34"/>
      <x:c r="K67" s="36"/>
      <x:c r="L67" s="22" t="str">
        <x:v>黑鱼花</x:v>
      </x:c>
      <x:c r="M67" s="36" t="n">
        <x:v>0.4</x:v>
      </x:c>
      <x:c r="N67" s="22" t="str">
        <x:v>未匹配</x:v>
      </x:c>
    </x:row>
    <x:row r="68">
      <x:c r="A68" s="22" t="str">
        <x:v>荤菜</x:v>
      </x:c>
      <x:c r="B68" s="22" t="str">
        <x:v>脆皖鱼</x:v>
      </x:c>
      <x:c r="C68" s="22" t="str">
        <x:v>魭鱼片</x:v>
      </x:c>
      <x:c r="D68" s="34" t="n">
        <x:v>120</x:v>
      </x:c>
      <x:c r="E68" s="34" t="n">
        <x:v>140</x:v>
      </x:c>
      <x:c r="F68" s="34" t="n">
        <x:v>85.71428571428572</x:v>
      </x:c>
      <x:c r="G68" s="34" t="n">
        <x:v>55</x:v>
      </x:c>
      <x:c r="H68" s="34" t="n">
        <x:v>16</x:v>
      </x:c>
      <x:c r="I68" s="34" t="n">
        <x:v>16.16</x:v>
      </x:c>
      <x:c r="J68" s="34" t="n">
        <x:v>36</x:v>
      </x:c>
      <x:c r="K68" s="36" t="n">
        <x:v>55.111111111111114</x:v>
      </x:c>
      <x:c r="L68" s="22" t="str">
        <x:v>鲷鱼片</x:v>
      </x:c>
      <x:c r="M68" s="36" t="n">
        <x:v>0.6667</x:v>
      </x:c>
      <x:c r="N68" s="22" t="str">
        <x:v>未匹配</x:v>
      </x:c>
    </x:row>
    <x:row r="69">
      <x:c r="A69" s="22" t="str">
        <x:v>荤菜</x:v>
      </x:c>
      <x:c r="B69" s="22" t="str">
        <x:v>脆皖鱼</x:v>
      </x:c>
      <x:c r="C69" s="22" t="str">
        <x:v>花草</x:v>
      </x:c>
      <x:c r="D69" s="34" t="n">
        <x:v>5</x:v>
      </x:c>
      <x:c r="E69" s="34" t="n">
        <x:v>8</x:v>
      </x:c>
      <x:c r="F69" s="34" t="n">
        <x:v>62.5</x:v>
      </x:c>
      <x:c r="G69" s="34" t="n">
        <x:v>10</x:v>
      </x:c>
      <x:c r="H69" s="34" t="n">
        <x:v>0.16</x:v>
      </x:c>
      <x:c r="I69" s="34"/>
      <x:c r="J69" s="34"/>
      <x:c r="K69" s="36"/>
      <x:c r="L69" s="22" t="str">
        <x:v>黑鱼花</x:v>
      </x:c>
      <x:c r="M69" s="36" t="n">
        <x:v>0.4</x:v>
      </x:c>
      <x:c r="N69" s="22" t="str">
        <x:v>未匹配</x:v>
      </x:c>
    </x:row>
    <x:row r="70">
      <x:c r="A70" s="22" t="str">
        <x:v>荤菜</x:v>
      </x:c>
      <x:c r="B70" s="22" t="str">
        <x:v>云南草本鲜牛肉</x:v>
      </x:c>
      <x:c r="C70" s="22" t="str">
        <x:v>嫩肉</x:v>
      </x:c>
      <x:c r="D70" s="34" t="n">
        <x:v>300</x:v>
      </x:c>
      <x:c r="E70" s="34" t="n">
        <x:v>300</x:v>
      </x:c>
      <x:c r="F70" s="34" t="n">
        <x:v>100</x:v>
      </x:c>
      <x:c r="G70" s="34" t="n">
        <x:v>32.33</x:v>
      </x:c>
      <x:c r="H70" s="34" t="n">
        <x:v>19.4</x:v>
      </x:c>
      <x:c r="I70" s="34" t="n">
        <x:v>20</x:v>
      </x:c>
      <x:c r="J70" s="34" t="n">
        <x:v>68</x:v>
      </x:c>
      <x:c r="K70" s="36" t="n">
        <x:v>70.58823529411764</x:v>
      </x:c>
      <x:c r="L70" s="22" t="str">
        <x:v>猪肉饼</x:v>
      </x:c>
      <x:c r="M70" s="36" t="n">
        <x:v>0.4</x:v>
      </x:c>
      <x:c r="N70" s="22" t="str">
        <x:v>未匹配</x:v>
      </x:c>
    </x:row>
    <x:row r="71">
      <x:c r="A71" s="22" t="str">
        <x:v>荤菜</x:v>
      </x:c>
      <x:c r="B71" s="22" t="str">
        <x:v>云南草本鲜牛肉</x:v>
      </x:c>
      <x:c r="C71" s="22" t="str">
        <x:v>草本</x:v>
      </x:c>
      <x:c r="D71" s="34" t="n">
        <x:v>30</x:v>
      </x:c>
      <x:c r="E71" s="34" t="n">
        <x:v>30</x:v>
      </x:c>
      <x:c r="F71" s="34" t="n">
        <x:v>100</x:v>
      </x:c>
      <x:c r="G71" s="34" t="n">
        <x:v>10</x:v>
      </x:c>
      <x:c r="H71" s="34" t="n">
        <x:v>0.6</x:v>
      </x:c>
      <x:c r="I71" s="34"/>
      <x:c r="J71" s="34"/>
      <x:c r="K71" s="36"/>
      <x:c r="L71" s="22" t="str">
        <x:v>虫草花</x:v>
      </x:c>
      <x:c r="M71" s="36" t="n">
        <x:v>0.4</x:v>
      </x:c>
      <x:c r="N71" s="22" t="str">
        <x:v>未匹配</x:v>
      </x:c>
    </x:row>
    <x:row r="72">
      <x:c r="A72" s="22" t="str">
        <x:v>荤菜</x:v>
      </x:c>
      <x:c r="B72" s="22" t="str">
        <x:v>鲜切牛脊背肉</x:v>
      </x:c>
      <x:c r="C72" s="22" t="str">
        <x:v>西冷</x:v>
      </x:c>
      <x:c r="D72" s="34" t="n">
        <x:v>120</x:v>
      </x:c>
      <x:c r="E72" s="34" t="n">
        <x:v>120</x:v>
      </x:c>
      <x:c r="F72" s="34" t="n">
        <x:v>100</x:v>
      </x:c>
      <x:c r="G72" s="34" t="str">
        <x:v>12/袋</x:v>
      </x:c>
      <x:c r="H72" s="34" t="n">
        <x:v>12</x:v>
      </x:c>
      <x:c r="I72" s="34" t="n">
        <x:v>12.16</x:v>
      </x:c>
      <x:c r="J72" s="34" t="n">
        <x:v>46</x:v>
      </x:c>
      <x:c r="K72" s="36" t="n">
        <x:v>73.56521739130436</x:v>
      </x:c>
      <x:c r="L72" s="22" t="str">
        <x:v>鲜嫩西冷</x:v>
      </x:c>
      <x:c r="M72" s="36" t="n">
        <x:v>0.84</x:v>
      </x:c>
      <x:c r="N72" s="22" t="str">
        <x:v>可能匹配待确认</x:v>
      </x:c>
    </x:row>
    <x:row r="73">
      <x:c r="A73" s="22" t="str">
        <x:v>荤菜</x:v>
      </x:c>
      <x:c r="B73" s="22" t="str">
        <x:v>鲜切牛脊背肉</x:v>
      </x:c>
      <x:c r="C73" s="22" t="str">
        <x:v>花草</x:v>
      </x:c>
      <x:c r="D73" s="34" t="n">
        <x:v>5</x:v>
      </x:c>
      <x:c r="E73" s="34" t="n">
        <x:v>8</x:v>
      </x:c>
      <x:c r="F73" s="34" t="n">
        <x:v>62.5</x:v>
      </x:c>
      <x:c r="G73" s="34" t="n">
        <x:v>10</x:v>
      </x:c>
      <x:c r="H73" s="34" t="n">
        <x:v>0.16</x:v>
      </x:c>
      <x:c r="I73" s="34"/>
      <x:c r="J73" s="34"/>
      <x:c r="K73" s="36"/>
      <x:c r="L73" s="22" t="str">
        <x:v>黑鱼花</x:v>
      </x:c>
      <x:c r="M73" s="36" t="n">
        <x:v>0.4</x:v>
      </x:c>
      <x:c r="N73" s="22" t="str">
        <x:v>未匹配</x:v>
      </x:c>
    </x:row>
    <x:row r="74">
      <x:c r="A74" s="22" t="str">
        <x:v>荤菜</x:v>
      </x:c>
      <x:c r="B74" s="22" t="str">
        <x:v>云滇小八爪</x:v>
      </x:c>
      <x:c r="C74" s="22" t="str">
        <x:v>八爪鱼</x:v>
      </x:c>
      <x:c r="D74" s="34" t="n">
        <x:v>100</x:v>
      </x:c>
      <x:c r="E74" s="34" t="n">
        <x:v>152</x:v>
      </x:c>
      <x:c r="F74" s="34" t="n">
        <x:v>65.78947368421052</x:v>
      </x:c>
      <x:c r="G74" s="34" t="n">
        <x:v>20</x:v>
      </x:c>
      <x:c r="H74" s="34" t="n">
        <x:v>6.1</x:v>
      </x:c>
      <x:c r="I74" s="34" t="n">
        <x:v>6.26</x:v>
      </x:c>
      <x:c r="J74" s="34" t="n">
        <x:v>48</x:v>
      </x:c>
      <x:c r="K74" s="36" t="n">
        <x:v>86.95833333333334</x:v>
      </x:c>
      <x:c r="L74" s="22" t="str">
        <x:v>八爪鱼</x:v>
      </x:c>
      <x:c r="M74" s="36" t="n">
        <x:v>1</x:v>
      </x:c>
      <x:c r="N74" s="22" t="str">
        <x:v>名称一致</x:v>
      </x:c>
    </x:row>
    <x:row r="75">
      <x:c r="A75" s="22" t="str">
        <x:v>荤菜</x:v>
      </x:c>
      <x:c r="B75" s="22" t="str">
        <x:v>云滇小八爪</x:v>
      </x:c>
      <x:c r="C75" s="22" t="str">
        <x:v>花草</x:v>
      </x:c>
      <x:c r="D75" s="34" t="n">
        <x:v>5</x:v>
      </x:c>
      <x:c r="E75" s="34" t="n">
        <x:v>8</x:v>
      </x:c>
      <x:c r="F75" s="34" t="n">
        <x:v>62.5</x:v>
      </x:c>
      <x:c r="G75" s="34" t="n">
        <x:v>10</x:v>
      </x:c>
      <x:c r="H75" s="34" t="n">
        <x:v>0.16</x:v>
      </x:c>
      <x:c r="I75" s="34"/>
      <x:c r="J75" s="34"/>
      <x:c r="K75" s="36"/>
      <x:c r="L75" s="22" t="str">
        <x:v>黑鱼花</x:v>
      </x:c>
      <x:c r="M75" s="36" t="n">
        <x:v>0.4</x:v>
      </x:c>
      <x:c r="N75" s="22" t="str">
        <x:v>未匹配</x:v>
      </x:c>
    </x:row>
    <x:row r="76">
      <x:c r="A76" s="22" t="str">
        <x:v>荤菜</x:v>
      </x:c>
      <x:c r="B76" s="22" t="str">
        <x:v>秘制黄牛肉小份</x:v>
      </x:c>
      <x:c r="C76" s="22" t="str">
        <x:v>嫩肉</x:v>
      </x:c>
      <x:c r="D76" s="34" t="n">
        <x:v>240</x:v>
      </x:c>
      <x:c r="E76" s="34" t="n">
        <x:v>240</x:v>
      </x:c>
      <x:c r="F76" s="34" t="n">
        <x:v>100</x:v>
      </x:c>
      <x:c r="G76" s="34" t="n">
        <x:v>32.33</x:v>
      </x:c>
      <x:c r="H76" s="34" t="n">
        <x:v>15.52</x:v>
      </x:c>
      <x:c r="I76" s="34" t="n">
        <x:v>16.009999999999998</x:v>
      </x:c>
      <x:c r="J76" s="34" t="n">
        <x:v>46</x:v>
      </x:c>
      <x:c r="K76" s="36" t="n">
        <x:v>65.19565217391305</x:v>
      </x:c>
      <x:c r="L76" s="22" t="str">
        <x:v>猪肉饼</x:v>
      </x:c>
      <x:c r="M76" s="36" t="n">
        <x:v>0.4</x:v>
      </x:c>
      <x:c r="N76" s="22" t="str">
        <x:v>未匹配</x:v>
      </x:c>
    </x:row>
    <x:row r="77">
      <x:c r="A77" s="22" t="str">
        <x:v>荤菜</x:v>
      </x:c>
      <x:c r="B77" s="22" t="str">
        <x:v>秘制黄牛肉小份</x:v>
      </x:c>
      <x:c r="C77" s="22" t="str">
        <x:v>红油</x:v>
      </x:c>
      <x:c r="D77" s="34" t="n">
        <x:v>10</x:v>
      </x:c>
      <x:c r="E77" s="34" t="n">
        <x:v>10</x:v>
      </x:c>
      <x:c r="F77" s="34" t="n">
        <x:v>100</x:v>
      </x:c>
      <x:c r="G77" s="34" t="n">
        <x:v>24.17</x:v>
      </x:c>
      <x:c r="H77" s="34" t="n">
        <x:v>0.49</x:v>
      </x:c>
      <x:c r="I77" s="34"/>
      <x:c r="J77" s="34"/>
      <x:c r="K77" s="36"/>
      <x:c r="L77" s="22" t="str">
        <x:v>火锅专用红油·滇界定制</x:v>
      </x:c>
      <x:c r="M77" s="36" t="n">
        <x:v>0.78</x:v>
      </x:c>
      <x:c r="N77" s="22" t="str">
        <x:v>可能匹配待确认</x:v>
      </x:c>
    </x:row>
    <x:row r="78">
      <x:c r="A78" s="22" t="str">
        <x:v>荤菜</x:v>
      </x:c>
      <x:c r="B78" s="22" t="str">
        <x:v>秘制黄牛肉大份</x:v>
      </x:c>
      <x:c r="C78" s="22" t="str">
        <x:v>嫩肉</x:v>
      </x:c>
      <x:c r="D78" s="34" t="n">
        <x:v>450</x:v>
      </x:c>
      <x:c r="E78" s="34" t="n">
        <x:v>450</x:v>
      </x:c>
      <x:c r="F78" s="34" t="n">
        <x:v>100</x:v>
      </x:c>
      <x:c r="G78" s="34" t="n">
        <x:v>32.33</x:v>
      </x:c>
      <x:c r="H78" s="34" t="n">
        <x:v>29.1</x:v>
      </x:c>
      <x:c r="I78" s="34" t="n">
        <x:v>31.520000000000003</x:v>
      </x:c>
      <x:c r="J78" s="34" t="n">
        <x:v>88</x:v>
      </x:c>
      <x:c r="K78" s="36" t="n">
        <x:v>64.18181818181817</x:v>
      </x:c>
      <x:c r="L78" s="22" t="str">
        <x:v>猪肉饼</x:v>
      </x:c>
      <x:c r="M78" s="36" t="n">
        <x:v>0.4</x:v>
      </x:c>
      <x:c r="N78" s="22" t="str">
        <x:v>未匹配</x:v>
      </x:c>
    </x:row>
    <x:row r="79">
      <x:c r="A79" s="22" t="str">
        <x:v>荤菜</x:v>
      </x:c>
      <x:c r="B79" s="22" t="str">
        <x:v>秘制黄牛肉大份</x:v>
      </x:c>
      <x:c r="C79" s="22" t="str">
        <x:v>红油</x:v>
      </x:c>
      <x:c r="D79" s="34" t="n">
        <x:v>50</x:v>
      </x:c>
      <x:c r="E79" s="34" t="n">
        <x:v>50</x:v>
      </x:c>
      <x:c r="F79" s="34" t="n">
        <x:v>100</x:v>
      </x:c>
      <x:c r="G79" s="34" t="n">
        <x:v>24.17</x:v>
      </x:c>
      <x:c r="H79" s="34" t="n">
        <x:v>2.42</x:v>
      </x:c>
      <x:c r="I79" s="34"/>
      <x:c r="J79" s="34"/>
      <x:c r="K79" s="36"/>
      <x:c r="L79" s="22" t="str">
        <x:v>火锅专用红油·滇界定制</x:v>
      </x:c>
      <x:c r="M79" s="36" t="n">
        <x:v>0.78</x:v>
      </x:c>
      <x:c r="N79" s="22" t="str">
        <x:v>可能匹配待确认</x:v>
      </x:c>
    </x:row>
    <x:row r="80">
      <x:c r="A80" s="22" t="str">
        <x:v>荤菜</x:v>
      </x:c>
      <x:c r="B80" s="22" t="str">
        <x:v>鲜切牛吊龙</x:v>
      </x:c>
      <x:c r="C80" s="22" t="str">
        <x:v>吊龙</x:v>
      </x:c>
      <x:c r="D80" s="34" t="n">
        <x:v>120</x:v>
      </x:c>
      <x:c r="E80" s="34" t="n">
        <x:v>120</x:v>
      </x:c>
      <x:c r="F80" s="34" t="n">
        <x:v>100</x:v>
      </x:c>
      <x:c r="G80" s="34" t="str">
        <x:v>50/斤</x:v>
      </x:c>
      <x:c r="H80" s="34" t="n">
        <x:v>12</x:v>
      </x:c>
      <x:c r="I80" s="34" t="n">
        <x:v>12.16</x:v>
      </x:c>
      <x:c r="J80" s="34" t="n">
        <x:v>43</x:v>
      </x:c>
      <x:c r="K80" s="36" t="n">
        <x:v>71.72093023255815</x:v>
      </x:c>
      <x:c r="L80" s="22" t="str">
        <x:v>吊龙切片（吊龙前段）</x:v>
      </x:c>
      <x:c r="M80" s="36" t="n">
        <x:v>0.79</x:v>
      </x:c>
      <x:c r="N80" s="22" t="str">
        <x:v>可能匹配待确认</x:v>
      </x:c>
    </x:row>
    <x:row r="81">
      <x:c r="A81" s="22" t="str">
        <x:v>荤菜</x:v>
      </x:c>
      <x:c r="B81" s="22" t="str">
        <x:v>鲜切牛吊龙</x:v>
      </x:c>
      <x:c r="C81" s="22" t="str">
        <x:v>花草</x:v>
      </x:c>
      <x:c r="D81" s="34" t="n">
        <x:v>5</x:v>
      </x:c>
      <x:c r="E81" s="34" t="n">
        <x:v>8</x:v>
      </x:c>
      <x:c r="F81" s="34" t="n">
        <x:v>62.5</x:v>
      </x:c>
      <x:c r="G81" s="34" t="n">
        <x:v>10</x:v>
      </x:c>
      <x:c r="H81" s="34" t="n">
        <x:v>0.16</x:v>
      </x:c>
      <x:c r="I81" s="34"/>
      <x:c r="J81" s="34"/>
      <x:c r="K81" s="36"/>
      <x:c r="L81" s="22" t="str">
        <x:v>黑鱼花</x:v>
      </x:c>
      <x:c r="M81" s="36" t="n">
        <x:v>0.4</x:v>
      </x:c>
      <x:c r="N81" s="22" t="str">
        <x:v>未匹配</x:v>
      </x:c>
    </x:row>
    <x:row r="82">
      <x:c r="A82" s="22" t="str">
        <x:v>荤菜</x:v>
      </x:c>
      <x:c r="B82" s="22" t="str">
        <x:v>海味四重奏</x:v>
      </x:c>
      <x:c r="C82" s="22" t="str">
        <x:v>虾</x:v>
      </x:c>
      <x:c r="D82" s="34" t="n">
        <x:v>75</x:v>
      </x:c>
      <x:c r="E82" s="34" t="n">
        <x:v>75</x:v>
      </x:c>
      <x:c r="F82" s="34" t="n">
        <x:v>100</x:v>
      </x:c>
      <x:c r="G82" s="34" t="n">
        <x:v>33</x:v>
      </x:c>
      <x:c r="H82" s="34" t="n">
        <x:v>4.95</x:v>
      </x:c>
      <x:c r="I82" s="34" t="n">
        <x:v>49.61</x:v>
      </x:c>
      <x:c r="J82" s="34" t="n">
        <x:v>158</x:v>
      </x:c>
      <x:c r="K82" s="36" t="n">
        <x:v>68.60126582278481</x:v>
      </x:c>
      <x:c r="L82" s="22" t="str">
        <x:v>基围虾</x:v>
      </x:c>
      <x:c r="M82" s="36" t="n">
        <x:v>0.5</x:v>
      </x:c>
      <x:c r="N82" s="22" t="str">
        <x:v>未匹配</x:v>
      </x:c>
    </x:row>
    <x:row r="83">
      <x:c r="A83" s="22" t="str">
        <x:v>荤菜</x:v>
      </x:c>
      <x:c r="B83" s="22" t="str">
        <x:v>海味四重奏</x:v>
      </x:c>
      <x:c r="C83" s="22" t="str">
        <x:v>鲍鱼/个</x:v>
      </x:c>
      <x:c r="D83" s="34" t="n">
        <x:v>4</x:v>
      </x:c>
      <x:c r="E83" s="34" t="n">
        <x:v>4</x:v>
      </x:c>
      <x:c r="F83" s="34" t="n">
        <x:v>100</x:v>
      </x:c>
      <x:c r="G83" s="34" t="str">
        <x:v>4.6/个</x:v>
      </x:c>
      <x:c r="H83" s="34" t="n">
        <x:v>18.4</x:v>
      </x:c>
      <x:c r="I83" s="34"/>
      <x:c r="J83" s="34"/>
      <x:c r="K83" s="36"/>
      <x:c r="L83" s="22" t="str">
        <x:v>鲍鱼</x:v>
      </x:c>
      <x:c r="M83" s="36" t="n">
        <x:v>0.8733</x:v>
      </x:c>
      <x:c r="N83" s="22" t="str">
        <x:v>高相似待确认</x:v>
      </x:c>
    </x:row>
    <x:row r="84">
      <x:c r="A84" s="22" t="str">
        <x:v>荤菜</x:v>
      </x:c>
      <x:c r="B84" s="22" t="str">
        <x:v>海味四重奏</x:v>
      </x:c>
      <x:c r="C84" s="22" t="str">
        <x:v>八爪鱼</x:v>
      </x:c>
      <x:c r="D84" s="34" t="n">
        <x:v>100</x:v>
      </x:c>
      <x:c r="E84" s="34" t="n">
        <x:v>152</x:v>
      </x:c>
      <x:c r="F84" s="34" t="n">
        <x:v>65.78947368421052</x:v>
      </x:c>
      <x:c r="G84" s="34" t="n">
        <x:v>20</x:v>
      </x:c>
      <x:c r="H84" s="34" t="n">
        <x:v>6.1</x:v>
      </x:c>
      <x:c r="I84" s="34"/>
      <x:c r="J84" s="34"/>
      <x:c r="K84" s="36"/>
      <x:c r="L84" s="22" t="str">
        <x:v>八爪鱼</x:v>
      </x:c>
      <x:c r="M84" s="36" t="n">
        <x:v>1</x:v>
      </x:c>
      <x:c r="N84" s="22" t="str">
        <x:v>名称一致</x:v>
      </x:c>
    </x:row>
    <x:row r="85">
      <x:c r="A85" s="22" t="str">
        <x:v>荤菜</x:v>
      </x:c>
      <x:c r="B85" s="22" t="str">
        <x:v>海味四重奏</x:v>
      </x:c>
      <x:c r="C85" s="22" t="str">
        <x:v>生蚝/个</x:v>
      </x:c>
      <x:c r="D85" s="34" t="n">
        <x:v>2</x:v>
      </x:c>
      <x:c r="E85" s="34" t="n">
        <x:v>2</x:v>
      </x:c>
      <x:c r="F85" s="34" t="n">
        <x:v>100</x:v>
      </x:c>
      <x:c r="G85" s="34" t="str">
        <x:v>10/个</x:v>
      </x:c>
      <x:c r="H85" s="34" t="n">
        <x:v>20</x:v>
      </x:c>
      <x:c r="I85" s="34"/>
      <x:c r="J85" s="34"/>
      <x:c r="K85" s="36"/>
      <x:c r="L85" s="22" t="str">
        <x:v>生蚝</x:v>
      </x:c>
      <x:c r="M85" s="36" t="n">
        <x:v>0.8733</x:v>
      </x:c>
      <x:c r="N85" s="22" t="str">
        <x:v>高相似待确认</x:v>
      </x:c>
    </x:row>
    <x:row r="86">
      <x:c r="A86" s="22" t="str">
        <x:v>荤菜</x:v>
      </x:c>
      <x:c r="B86" s="22" t="str">
        <x:v>海味四重奏</x:v>
      </x:c>
      <x:c r="C86" s="22" t="str">
        <x:v>花草</x:v>
      </x:c>
      <x:c r="D86" s="34" t="n">
        <x:v>5</x:v>
      </x:c>
      <x:c r="E86" s="34" t="n">
        <x:v>8</x:v>
      </x:c>
      <x:c r="F86" s="34" t="n">
        <x:v>62.5</x:v>
      </x:c>
      <x:c r="G86" s="34" t="n">
        <x:v>10</x:v>
      </x:c>
      <x:c r="H86" s="34" t="n">
        <x:v>0.16</x:v>
      </x:c>
      <x:c r="I86" s="34"/>
      <x:c r="J86" s="34"/>
      <x:c r="K86" s="36"/>
      <x:c r="L86" s="22" t="str">
        <x:v>黑鱼花</x:v>
      </x:c>
      <x:c r="M86" s="36" t="n">
        <x:v>0.4</x:v>
      </x:c>
      <x:c r="N86" s="22" t="str">
        <x:v>未匹配</x:v>
      </x:c>
    </x:row>
    <x:row r="87">
      <x:c r="A87" s="22" t="str">
        <x:v>荤菜</x:v>
      </x:c>
      <x:c r="B87" s="22" t="str">
        <x:v>胡辣椒鲜牛肉</x:v>
      </x:c>
      <x:c r="C87" s="22" t="str">
        <x:v>西冷</x:v>
      </x:c>
      <x:c r="D87" s="34" t="n">
        <x:v>120</x:v>
      </x:c>
      <x:c r="E87" s="34" t="n">
        <x:v>120</x:v>
      </x:c>
      <x:c r="F87" s="34" t="n">
        <x:v>100</x:v>
      </x:c>
      <x:c r="G87" s="34" t="str">
        <x:v>12/袋</x:v>
      </x:c>
      <x:c r="H87" s="34" t="n">
        <x:v>12</x:v>
      </x:c>
      <x:c r="I87" s="34" t="n">
        <x:v>12.24</x:v>
      </x:c>
      <x:c r="J87" s="34" t="n">
        <x:v>46</x:v>
      </x:c>
      <x:c r="K87" s="36" t="n">
        <x:v>73.39130434782608</x:v>
      </x:c>
      <x:c r="L87" s="22" t="str">
        <x:v>鲜嫩西冷</x:v>
      </x:c>
      <x:c r="M87" s="36" t="n">
        <x:v>0.84</x:v>
      </x:c>
      <x:c r="N87" s="22" t="str">
        <x:v>可能匹配待确认</x:v>
      </x:c>
    </x:row>
    <x:row r="88">
      <x:c r="A88" s="22" t="str">
        <x:v>荤菜</x:v>
      </x:c>
      <x:c r="B88" s="22" t="str">
        <x:v>胡辣椒鲜牛肉</x:v>
      </x:c>
      <x:c r="C88" s="22" t="str">
        <x:v>胡辣椒</x:v>
      </x:c>
      <x:c r="D88" s="34" t="n">
        <x:v>5</x:v>
      </x:c>
      <x:c r="E88" s="34" t="n">
        <x:v>5</x:v>
      </x:c>
      <x:c r="F88" s="34" t="n">
        <x:v>100</x:v>
      </x:c>
      <x:c r="G88" s="34" t="n">
        <x:v>24</x:v>
      </x:c>
      <x:c r="H88" s="34" t="n">
        <x:v>0.24</x:v>
      </x:c>
      <x:c r="I88" s="34"/>
      <x:c r="J88" s="34"/>
      <x:c r="K88" s="36"/>
      <x:c r="L88" s="22" t="str">
        <x:v>特级丘北辣椒</x:v>
      </x:c>
      <x:c r="M88" s="36" t="n">
        <x:v>0.4444</x:v>
      </x:c>
      <x:c r="N88" s="22" t="str">
        <x:v>未匹配</x:v>
      </x:c>
    </x:row>
    <x:row r="89">
      <x:c r="A89" s="22" t="str">
        <x:v>荤菜</x:v>
      </x:c>
      <x:c r="B89" s="22" t="str">
        <x:v>山葵鲜牛肉</x:v>
      </x:c>
      <x:c r="C89" s="22" t="str">
        <x:v>西冷</x:v>
      </x:c>
      <x:c r="D89" s="34" t="n">
        <x:v>120</x:v>
      </x:c>
      <x:c r="E89" s="34" t="n">
        <x:v>120</x:v>
      </x:c>
      <x:c r="F89" s="34" t="n">
        <x:v>100</x:v>
      </x:c>
      <x:c r="G89" s="34" t="str">
        <x:v>12/袋</x:v>
      </x:c>
      <x:c r="H89" s="34" t="n">
        <x:v>12</x:v>
      </x:c>
      <x:c r="I89" s="34" t="n">
        <x:v>12.88</x:v>
      </x:c>
      <x:c r="J89" s="34" t="n">
        <x:v>46</x:v>
      </x:c>
      <x:c r="K89" s="36" t="n">
        <x:v>71.99999999999999</x:v>
      </x:c>
      <x:c r="L89" s="22" t="str">
        <x:v>鲜嫩西冷</x:v>
      </x:c>
      <x:c r="M89" s="36" t="n">
        <x:v>0.84</x:v>
      </x:c>
      <x:c r="N89" s="22" t="str">
        <x:v>可能匹配待确认</x:v>
      </x:c>
    </x:row>
    <x:row r="90">
      <x:c r="A90" s="22" t="str">
        <x:v>荤菜</x:v>
      </x:c>
      <x:c r="B90" s="22" t="str">
        <x:v>山葵鲜牛肉</x:v>
      </x:c>
      <x:c r="C90" s="22" t="str">
        <x:v>山葵</x:v>
      </x:c>
      <x:c r="D90" s="34" t="n">
        <x:v>5</x:v>
      </x:c>
      <x:c r="E90" s="34" t="n">
        <x:v>5.5</x:v>
      </x:c>
      <x:c r="F90" s="34" t="n">
        <x:v>90.9090909090909</x:v>
      </x:c>
      <x:c r="G90" s="34" t="n">
        <x:v>80</x:v>
      </x:c>
      <x:c r="H90" s="34" t="n">
        <x:v>0.88</x:v>
      </x:c>
      <x:c r="I90" s="34"/>
      <x:c r="J90" s="34"/>
      <x:c r="K90" s="36"/>
      <x:c r="L90" s="22" t="str">
        <x:v>农夫山泉1.5升</x:v>
      </x:c>
      <x:c r="M90" s="36" t="n">
        <x:v>0.2</x:v>
      </x:c>
      <x:c r="N90" s="22" t="str">
        <x:v>未匹配</x:v>
      </x:c>
    </x:row>
    <x:row r="91">
      <x:c r="A91" s="22" t="str">
        <x:v>荤菜</x:v>
      </x:c>
      <x:c r="B91" s="22" t="str">
        <x:v>云滇鲜鲍鱼</x:v>
      </x:c>
      <x:c r="C91" s="22" t="str">
        <x:v>鲍鱼/4</x:v>
      </x:c>
      <x:c r="D91" s="34" t="n">
        <x:v>4</x:v>
      </x:c>
      <x:c r="E91" s="34" t="n">
        <x:v>4</x:v>
      </x:c>
      <x:c r="F91" s="34" t="n">
        <x:v>100</x:v>
      </x:c>
      <x:c r="G91" s="34" t="str">
        <x:v>4.6/个</x:v>
      </x:c>
      <x:c r="H91" s="34" t="n">
        <x:v>18.4</x:v>
      </x:c>
      <x:c r="I91" s="34" t="n">
        <x:v>18.56</x:v>
      </x:c>
      <x:c r="J91" s="34" t="n">
        <x:v>48</x:v>
      </x:c>
      <x:c r="K91" s="36" t="n">
        <x:v>61.333333333333336</x:v>
      </x:c>
      <x:c r="L91" s="22" t="str">
        <x:v>鲍鱼</x:v>
      </x:c>
      <x:c r="M91" s="36" t="n">
        <x:v>0.8733</x:v>
      </x:c>
      <x:c r="N91" s="22" t="str">
        <x:v>高相似待确认</x:v>
      </x:c>
    </x:row>
    <x:row r="92">
      <x:c r="A92" s="22" t="str">
        <x:v>荤菜</x:v>
      </x:c>
      <x:c r="B92" s="22" t="str">
        <x:v>云滇鲜鲍鱼</x:v>
      </x:c>
      <x:c r="C92" s="22" t="str">
        <x:v>花草</x:v>
      </x:c>
      <x:c r="D92" s="34" t="n">
        <x:v>5</x:v>
      </x:c>
      <x:c r="E92" s="34" t="n">
        <x:v>8</x:v>
      </x:c>
      <x:c r="F92" s="34" t="n">
        <x:v>62.5</x:v>
      </x:c>
      <x:c r="G92" s="34" t="n">
        <x:v>10</x:v>
      </x:c>
      <x:c r="H92" s="34" t="n">
        <x:v>0.16</x:v>
      </x:c>
      <x:c r="I92" s="34"/>
      <x:c r="J92" s="34"/>
      <x:c r="K92" s="36"/>
      <x:c r="L92" s="22" t="str">
        <x:v>黑鱼花</x:v>
      </x:c>
      <x:c r="M92" s="36" t="n">
        <x:v>0.4</x:v>
      </x:c>
      <x:c r="N92" s="22" t="str">
        <x:v>未匹配</x:v>
      </x:c>
    </x:row>
    <x:row r="93">
      <x:c r="A93" s="22" t="str">
        <x:v>荤菜</x:v>
      </x:c>
      <x:c r="B93" s="22" t="str">
        <x:v>宣威腊火腿</x:v>
      </x:c>
      <x:c r="C93" s="22" t="str">
        <x:v>火腿</x:v>
      </x:c>
      <x:c r="D93" s="34" t="n">
        <x:v>70</x:v>
      </x:c>
      <x:c r="E93" s="34" t="n">
        <x:v>71</x:v>
      </x:c>
      <x:c r="F93" s="34" t="n">
        <x:v>98.59154929577466</x:v>
      </x:c>
      <x:c r="G93" s="34" t="n">
        <x:v>49</x:v>
      </x:c>
      <x:c r="H93" s="34" t="n">
        <x:v>6.96</x:v>
      </x:c>
      <x:c r="I93" s="34" t="n">
        <x:v>6.96</x:v>
      </x:c>
      <x:c r="J93" s="34" t="n">
        <x:v>38</x:v>
      </x:c>
      <x:c r="K93" s="36" t="n">
        <x:v>81.68421052631578</x:v>
      </x:c>
      <x:c r="L93" s="22" t="str">
        <x:v>云南腊火腿</x:v>
      </x:c>
      <x:c r="M93" s="36" t="n">
        <x:v>0.82</x:v>
      </x:c>
      <x:c r="N93" s="22" t="str">
        <x:v>可能匹配待确认</x:v>
      </x:c>
    </x:row>
    <x:row r="94">
      <x:c r="A94" s="22" t="str">
        <x:v>荤菜</x:v>
      </x:c>
      <x:c r="B94" s="22" t="str">
        <x:v>纳西族腊排骨</x:v>
      </x:c>
      <x:c r="C94" s="22" t="str">
        <x:v>排骨</x:v>
      </x:c>
      <x:c r="D94" s="34" t="n">
        <x:v>250</x:v>
      </x:c>
      <x:c r="E94" s="34" t="n">
        <x:v>330</x:v>
      </x:c>
      <x:c r="F94" s="34" t="n">
        <x:v>75.75757575757576</x:v>
      </x:c>
      <x:c r="G94" s="34" t="n">
        <x:v>33</x:v>
      </x:c>
      <x:c r="H94" s="34" t="n">
        <x:v>21.78</x:v>
      </x:c>
      <x:c r="I94" s="34" t="n">
        <x:v>22.94</x:v>
      </x:c>
      <x:c r="J94" s="34" t="n">
        <x:v>58</x:v>
      </x:c>
      <x:c r="K94" s="36" t="n">
        <x:v>60.448275862068975</x:v>
      </x:c>
      <x:c r="L94" s="22" t="str">
        <x:v>云南腊排骨</x:v>
      </x:c>
      <x:c r="M94" s="36" t="n">
        <x:v>0.82</x:v>
      </x:c>
      <x:c r="N94" s="22" t="str">
        <x:v>可能匹配待确认</x:v>
      </x:c>
    </x:row>
    <x:row r="95">
      <x:c r="A95" s="22" t="str">
        <x:v>荤菜</x:v>
      </x:c>
      <x:c r="B95" s="22" t="str">
        <x:v>纳西族腊排骨</x:v>
      </x:c>
      <x:c r="C95" s="22" t="str">
        <x:v>花草</x:v>
      </x:c>
      <x:c r="D95" s="34" t="n">
        <x:v>5</x:v>
      </x:c>
      <x:c r="E95" s="34" t="n">
        <x:v>8</x:v>
      </x:c>
      <x:c r="F95" s="34" t="n">
        <x:v>62.5</x:v>
      </x:c>
      <x:c r="G95" s="34" t="n">
        <x:v>10</x:v>
      </x:c>
      <x:c r="H95" s="34" t="n">
        <x:v>0.16</x:v>
      </x:c>
      <x:c r="I95" s="34"/>
      <x:c r="J95" s="34"/>
      <x:c r="K95" s="36"/>
      <x:c r="L95" s="22" t="str">
        <x:v>黑鱼花</x:v>
      </x:c>
      <x:c r="M95" s="36" t="n">
        <x:v>0.4</x:v>
      </x:c>
      <x:c r="N95" s="22" t="str">
        <x:v>未匹配</x:v>
      </x:c>
    </x:row>
    <x:row r="96">
      <x:c r="A96" s="22" t="str">
        <x:v>荤菜</x:v>
      </x:c>
      <x:c r="B96" s="22" t="str">
        <x:v>云南鲜嫩牛肉</x:v>
      </x:c>
      <x:c r="C96" s="22" t="str">
        <x:v>嫩肉</x:v>
      </x:c>
      <x:c r="D96" s="34" t="n">
        <x:v>150</x:v>
      </x:c>
      <x:c r="E96" s="34" t="n">
        <x:v>150</x:v>
      </x:c>
      <x:c r="F96" s="34" t="n">
        <x:v>100</x:v>
      </x:c>
      <x:c r="G96" s="34" t="str">
        <x:v>9.7/袋</x:v>
      </x:c>
      <x:c r="H96" s="34" t="n">
        <x:v>9.7</x:v>
      </x:c>
      <x:c r="I96" s="34" t="n">
        <x:v>9.86</x:v>
      </x:c>
      <x:c r="J96" s="34" t="n">
        <x:v>46</x:v>
      </x:c>
      <x:c r="K96" s="36" t="n">
        <x:v>78.56521739130434</x:v>
      </x:c>
      <x:c r="L96" s="22" t="str">
        <x:v>猪肉饼</x:v>
      </x:c>
      <x:c r="M96" s="36" t="n">
        <x:v>0.4</x:v>
      </x:c>
      <x:c r="N96" s="22" t="str">
        <x:v>未匹配</x:v>
      </x:c>
    </x:row>
    <x:row r="97">
      <x:c r="A97" s="22" t="str">
        <x:v>荤菜</x:v>
      </x:c>
      <x:c r="B97" s="22" t="str">
        <x:v>云南鲜嫩牛肉</x:v>
      </x:c>
      <x:c r="C97" s="22" t="str">
        <x:v>花草</x:v>
      </x:c>
      <x:c r="D97" s="34" t="n">
        <x:v>5</x:v>
      </x:c>
      <x:c r="E97" s="34" t="n">
        <x:v>8</x:v>
      </x:c>
      <x:c r="F97" s="34" t="n">
        <x:v>62.5</x:v>
      </x:c>
      <x:c r="G97" s="34" t="n">
        <x:v>10</x:v>
      </x:c>
      <x:c r="H97" s="34" t="n">
        <x:v>0.16</x:v>
      </x:c>
      <x:c r="I97" s="34"/>
      <x:c r="J97" s="34"/>
      <x:c r="K97" s="36"/>
      <x:c r="L97" s="22" t="str">
        <x:v>黑鱼花</x:v>
      </x:c>
      <x:c r="M97" s="36" t="n">
        <x:v>0.4</x:v>
      </x:c>
      <x:c r="N97" s="22" t="str">
        <x:v>未匹配</x:v>
      </x:c>
    </x:row>
    <x:row r="98">
      <x:c r="A98" s="22" t="str">
        <x:v>荤菜</x:v>
      </x:c>
      <x:c r="B98" s="22" t="str">
        <x:v>鲜切牛五花趾</x:v>
      </x:c>
      <x:c r="C98" s="22" t="str">
        <x:v>板件</x:v>
      </x:c>
      <x:c r="D98" s="34" t="n">
        <x:v>150</x:v>
      </x:c>
      <x:c r="E98" s="34" t="n">
        <x:v>150</x:v>
      </x:c>
      <x:c r="F98" s="34" t="n">
        <x:v>100</x:v>
      </x:c>
      <x:c r="G98" s="34" t="str">
        <x:v>17.1/袋</x:v>
      </x:c>
      <x:c r="H98" s="34" t="n">
        <x:v>17.1</x:v>
      </x:c>
      <x:c r="I98" s="34" t="n">
        <x:v>17.26</x:v>
      </x:c>
      <x:c r="J98" s="34" t="n">
        <x:v>46</x:v>
      </x:c>
      <x:c r="K98" s="36" t="n">
        <x:v>62.47826086956521</x:v>
      </x:c>
      <x:c r="L98" s="22" t="str">
        <x:v>板腱切片（五花趾）</x:v>
      </x:c>
      <x:c r="M98" s="36" t="n">
        <x:v>0.2222</x:v>
      </x:c>
      <x:c r="N98" s="22" t="str">
        <x:v>未匹配</x:v>
      </x:c>
    </x:row>
    <x:row r="99">
      <x:c r="A99" s="22" t="str">
        <x:v>荤菜</x:v>
      </x:c>
      <x:c r="B99" s="22" t="str">
        <x:v>鲜切牛五花趾</x:v>
      </x:c>
      <x:c r="C99" s="22" t="str">
        <x:v>花草</x:v>
      </x:c>
      <x:c r="D99" s="34" t="n">
        <x:v>5</x:v>
      </x:c>
      <x:c r="E99" s="34" t="n">
        <x:v>8</x:v>
      </x:c>
      <x:c r="F99" s="34" t="n">
        <x:v>62.5</x:v>
      </x:c>
      <x:c r="G99" s="34" t="n">
        <x:v>10</x:v>
      </x:c>
      <x:c r="H99" s="34" t="n">
        <x:v>0.16</x:v>
      </x:c>
      <x:c r="I99" s="34"/>
      <x:c r="J99" s="34"/>
      <x:c r="K99" s="36"/>
      <x:c r="L99" s="22" t="str">
        <x:v>黑鱼花</x:v>
      </x:c>
      <x:c r="M99" s="36" t="n">
        <x:v>0.4</x:v>
      </x:c>
      <x:c r="N99" s="22" t="str">
        <x:v>未匹配</x:v>
      </x:c>
    </x:row>
    <x:row r="100">
      <x:c r="A100" s="22" t="str">
        <x:v>荤菜</x:v>
      </x:c>
      <x:c r="B100" s="22" t="str">
        <x:v>薄荷鲜牛肉</x:v>
      </x:c>
      <x:c r="C100" s="22" t="str">
        <x:v>嫩肉</x:v>
      </x:c>
      <x:c r="D100" s="34" t="n">
        <x:v>150</x:v>
      </x:c>
      <x:c r="E100" s="34" t="n">
        <x:v>150</x:v>
      </x:c>
      <x:c r="F100" s="34" t="n">
        <x:v>100</x:v>
      </x:c>
      <x:c r="G100" s="34" t="str">
        <x:v>9.7/袋</x:v>
      </x:c>
      <x:c r="H100" s="34" t="n">
        <x:v>9.7</x:v>
      </x:c>
      <x:c r="I100" s="34" t="n">
        <x:v>9.879999999999999</x:v>
      </x:c>
      <x:c r="J100" s="34" t="n">
        <x:v>46</x:v>
      </x:c>
      <x:c r="K100" s="36" t="n">
        <x:v>78.5217391304348</x:v>
      </x:c>
      <x:c r="L100" s="22" t="str">
        <x:v>猪肉饼</x:v>
      </x:c>
      <x:c r="M100" s="36" t="n">
        <x:v>0.4</x:v>
      </x:c>
      <x:c r="N100" s="22" t="str">
        <x:v>未匹配</x:v>
      </x:c>
    </x:row>
    <x:row r="101">
      <x:c r="A101" s="22" t="str">
        <x:v>荤菜</x:v>
      </x:c>
      <x:c r="B101" s="22" t="str">
        <x:v>薄荷鲜牛肉</x:v>
      </x:c>
      <x:c r="C101" s="22" t="str">
        <x:v>薄荷</x:v>
      </x:c>
      <x:c r="D101" s="34" t="n">
        <x:v>6</x:v>
      </x:c>
      <x:c r="E101" s="34" t="n">
        <x:v>9</x:v>
      </x:c>
      <x:c r="F101" s="34" t="n">
        <x:v>66.66666666666667</x:v>
      </x:c>
      <x:c r="G101" s="34" t="n">
        <x:v>10</x:v>
      </x:c>
      <x:c r="H101" s="34" t="n">
        <x:v>0.18</x:v>
      </x:c>
      <x:c r="I101" s="34"/>
      <x:c r="J101" s="34"/>
      <x:c r="K101" s="36"/>
      <x:c r="L101" s="22" t="str">
        <x:v>龙爪菇</x:v>
      </x:c>
      <x:c r="M101" s="36" t="n">
        <x:v>0</x:v>
      </x:c>
      <x:c r="N101" s="22" t="str">
        <x:v>未匹配</x:v>
      </x:c>
    </x:row>
    <x:row r="102">
      <x:c r="A102" s="22" t="str">
        <x:v>荤菜</x:v>
      </x:c>
      <x:c r="B102" s="22" t="str">
        <x:v>云滇鲜虾</x:v>
      </x:c>
      <x:c r="C102" s="22" t="str">
        <x:v>虾</x:v>
      </x:c>
      <x:c r="D102" s="34" t="n">
        <x:v>150</x:v>
      </x:c>
      <x:c r="E102" s="34" t="n">
        <x:v>150</x:v>
      </x:c>
      <x:c r="F102" s="34" t="n">
        <x:v>100</x:v>
      </x:c>
      <x:c r="G102" s="34" t="n">
        <x:v>33</x:v>
      </x:c>
      <x:c r="H102" s="34" t="n">
        <x:v>9.9</x:v>
      </x:c>
      <x:c r="I102" s="34" t="n">
        <x:v>10.06</x:v>
      </x:c>
      <x:c r="J102" s="34" t="n">
        <x:v>79</x:v>
      </x:c>
      <x:c r="K102" s="36" t="n">
        <x:v>87.26582278481013</x:v>
      </x:c>
      <x:c r="L102" s="22" t="str">
        <x:v>基围虾</x:v>
      </x:c>
      <x:c r="M102" s="36" t="n">
        <x:v>0.5</x:v>
      </x:c>
      <x:c r="N102" s="22" t="str">
        <x:v>未匹配</x:v>
      </x:c>
    </x:row>
    <x:row r="103">
      <x:c r="A103" s="22" t="str">
        <x:v>荤菜</x:v>
      </x:c>
      <x:c r="B103" s="22" t="str">
        <x:v>云滇鲜虾</x:v>
      </x:c>
      <x:c r="C103" s="22" t="str">
        <x:v>花草</x:v>
      </x:c>
      <x:c r="D103" s="34" t="n">
        <x:v>5</x:v>
      </x:c>
      <x:c r="E103" s="34" t="n">
        <x:v>8</x:v>
      </x:c>
      <x:c r="F103" s="34" t="n">
        <x:v>62.5</x:v>
      </x:c>
      <x:c r="G103" s="34" t="n">
        <x:v>10</x:v>
      </x:c>
      <x:c r="H103" s="34" t="n">
        <x:v>0.16</x:v>
      </x:c>
      <x:c r="I103" s="34"/>
      <x:c r="J103" s="34"/>
      <x:c r="K103" s="36"/>
      <x:c r="L103" s="22" t="str">
        <x:v>黑鱼花</x:v>
      </x:c>
      <x:c r="M103" s="36" t="n">
        <x:v>0.4</x:v>
      </x:c>
      <x:c r="N103" s="22" t="str">
        <x:v>未匹配</x:v>
      </x:c>
    </x:row>
    <x:row r="104">
      <x:c r="A104" s="22" t="str">
        <x:v>荤菜</x:v>
      </x:c>
      <x:c r="B104" s="22" t="str">
        <x:v>手打牛肉丸</x:v>
      </x:c>
      <x:c r="C104" s="22" t="str">
        <x:v>牛肉丸</x:v>
      </x:c>
      <x:c r="D104" s="34" t="n">
        <x:v>130</x:v>
      </x:c>
      <x:c r="E104" s="34" t="n">
        <x:v>130</x:v>
      </x:c>
      <x:c r="F104" s="34" t="n">
        <x:v>100</x:v>
      </x:c>
      <x:c r="G104" s="34" t="str">
        <x:v>23.25/包</x:v>
      </x:c>
      <x:c r="H104" s="34" t="n">
        <x:v>6.1</x:v>
      </x:c>
      <x:c r="I104" s="34" t="n">
        <x:v>6.199999999999999</x:v>
      </x:c>
      <x:c r="J104" s="34" t="n">
        <x:v>26</x:v>
      </x:c>
      <x:c r="K104" s="36" t="n">
        <x:v>76.15384615384616</x:v>
      </x:c>
      <x:c r="L104" s="22" t="str">
        <x:v>牛肉浆</x:v>
      </x:c>
      <x:c r="M104" s="36" t="n">
        <x:v>0.6667</x:v>
      </x:c>
      <x:c r="N104" s="22" t="str">
        <x:v>未匹配</x:v>
      </x:c>
    </x:row>
    <x:row r="105">
      <x:c r="A105" s="22" t="str">
        <x:v>荤菜</x:v>
      </x:c>
      <x:c r="B105" s="22" t="str">
        <x:v>手打牛肉丸</x:v>
      </x:c>
      <x:c r="C105" s="22" t="str">
        <x:v>签子</x:v>
      </x:c>
      <x:c r="D105" s="34"/>
      <x:c r="E105" s="34"/>
      <x:c r="F105" s="34"/>
      <x:c r="G105" s="34"/>
      <x:c r="H105" s="34" t="n">
        <x:v>0.1</x:v>
      </x:c>
      <x:c r="I105" s="34"/>
      <x:c r="J105" s="34"/>
      <x:c r="K105" s="36"/>
      <x:c r="L105" s="22" t="str">
        <x:v>滑子菇</x:v>
      </x:c>
      <x:c r="M105" s="36" t="n">
        <x:v>0.4</x:v>
      </x:c>
      <x:c r="N105" s="22" t="str">
        <x:v>未匹配</x:v>
      </x:c>
    </x:row>
    <x:row r="106">
      <x:c r="A106" s="22" t="str">
        <x:v>荤菜</x:v>
      </x:c>
      <x:c r="B106" s="22" t="str">
        <x:v>小香肠</x:v>
      </x:c>
      <x:c r="C106" s="22" t="str">
        <x:v>小香肠</x:v>
      </x:c>
      <x:c r="D106" s="34" t="n">
        <x:v>85</x:v>
      </x:c>
      <x:c r="E106" s="34" t="n">
        <x:v>85</x:v>
      </x:c>
      <x:c r="F106" s="34" t="n">
        <x:v>100</x:v>
      </x:c>
      <x:c r="G106" s="34" t="str">
        <x:v>6.34/包</x:v>
      </x:c>
      <x:c r="H106" s="34" t="n">
        <x:v>6.34</x:v>
      </x:c>
      <x:c r="I106" s="34" t="n">
        <x:v>6.5</x:v>
      </x:c>
      <x:c r="J106" s="34" t="n">
        <x:v>18</x:v>
      </x:c>
      <x:c r="K106" s="36" t="n">
        <x:v>63.88888888888889</x:v>
      </x:c>
      <x:c r="L106" s="22" t="str">
        <x:v>火锅小香肠</x:v>
      </x:c>
      <x:c r="M106" s="36" t="n">
        <x:v>0.86</x:v>
      </x:c>
      <x:c r="N106" s="22" t="str">
        <x:v>高相似待确认</x:v>
      </x:c>
    </x:row>
    <x:row r="107">
      <x:c r="A107" s="22" t="str">
        <x:v>荤菜</x:v>
      </x:c>
      <x:c r="B107" s="22" t="str">
        <x:v>小香肠</x:v>
      </x:c>
      <x:c r="C107" s="22" t="str">
        <x:v>花草</x:v>
      </x:c>
      <x:c r="D107" s="34" t="n">
        <x:v>5</x:v>
      </x:c>
      <x:c r="E107" s="34" t="n">
        <x:v>8</x:v>
      </x:c>
      <x:c r="F107" s="34" t="n">
        <x:v>62.5</x:v>
      </x:c>
      <x:c r="G107" s="34" t="n">
        <x:v>10</x:v>
      </x:c>
      <x:c r="H107" s="34" t="n">
        <x:v>0.16</x:v>
      </x:c>
      <x:c r="I107" s="34"/>
      <x:c r="J107" s="34"/>
      <x:c r="K107" s="36"/>
      <x:c r="L107" s="22" t="str">
        <x:v>黑鱼花</x:v>
      </x:c>
      <x:c r="M107" s="36" t="n">
        <x:v>0.4</x:v>
      </x:c>
      <x:c r="N107" s="22" t="str">
        <x:v>未匹配</x:v>
      </x:c>
    </x:row>
    <x:row r="108">
      <x:c r="A108" s="22" t="str">
        <x:v>荤菜</x:v>
      </x:c>
      <x:c r="B108" s="22" t="str">
        <x:v>千丝蟹柳</x:v>
      </x:c>
      <x:c r="C108" s="22" t="str">
        <x:v>蟹柳</x:v>
      </x:c>
      <x:c r="D108" s="34" t="n">
        <x:v>155</x:v>
      </x:c>
      <x:c r="E108" s="34" t="n">
        <x:v>155</x:v>
      </x:c>
      <x:c r="F108" s="34" t="n">
        <x:v>100</x:v>
      </x:c>
      <x:c r="G108" s="34" t="n">
        <x:v>21.5</x:v>
      </x:c>
      <x:c r="H108" s="34" t="n">
        <x:v>6.67</x:v>
      </x:c>
      <x:c r="I108" s="34" t="n">
        <x:v>6.77</x:v>
      </x:c>
      <x:c r="J108" s="34" t="n">
        <x:v>20</x:v>
      </x:c>
      <x:c r="K108" s="36" t="n">
        <x:v>66.14999999999999</x:v>
      </x:c>
      <x:c r="L108" s="22" t="str">
        <x:v>千丝蟹柳</x:v>
      </x:c>
      <x:c r="M108" s="36" t="n">
        <x:v>0.84</x:v>
      </x:c>
      <x:c r="N108" s="22" t="str">
        <x:v>可能匹配待确认</x:v>
      </x:c>
    </x:row>
    <x:row r="109">
      <x:c r="A109" s="22" t="str">
        <x:v>荤菜</x:v>
      </x:c>
      <x:c r="B109" s="22" t="str">
        <x:v>千丝蟹柳</x:v>
      </x:c>
      <x:c r="C109" s="22" t="str">
        <x:v>花草</x:v>
      </x:c>
      <x:c r="D109" s="34" t="n">
        <x:v>3</x:v>
      </x:c>
      <x:c r="E109" s="34" t="n">
        <x:v>4</x:v>
      </x:c>
      <x:c r="F109" s="34" t="n">
        <x:v>75</x:v>
      </x:c>
      <x:c r="G109" s="34" t="n">
        <x:v>10</x:v>
      </x:c>
      <x:c r="H109" s="34" t="n">
        <x:v>0.1</x:v>
      </x:c>
      <x:c r="I109" s="34"/>
      <x:c r="J109" s="34"/>
      <x:c r="K109" s="36"/>
      <x:c r="L109" s="22" t="str">
        <x:v>黑鱼花</x:v>
      </x:c>
      <x:c r="M109" s="36" t="n">
        <x:v>0.4</x:v>
      </x:c>
      <x:c r="N109" s="22" t="str">
        <x:v>未匹配</x:v>
      </x:c>
    </x:row>
    <x:row r="110">
      <x:c r="A110" s="22" t="str">
        <x:v>荤菜</x:v>
      </x:c>
      <x:c r="B110" s="22" t="str">
        <x:v>猪肉饼</x:v>
      </x:c>
      <x:c r="C110" s="22" t="str">
        <x:v>猪肉饼</x:v>
      </x:c>
      <x:c r="D110" s="34" t="n">
        <x:v>150</x:v>
      </x:c>
      <x:c r="E110" s="34" t="n">
        <x:v>152</x:v>
      </x:c>
      <x:c r="F110" s="34" t="n">
        <x:v>98.6842105263158</x:v>
      </x:c>
      <x:c r="G110" s="34" t="str">
        <x:v>19.5/袋</x:v>
      </x:c>
      <x:c r="H110" s="34" t="n">
        <x:v>4</x:v>
      </x:c>
      <x:c r="I110" s="34" t="n">
        <x:v>4.16</x:v>
      </x:c>
      <x:c r="J110" s="34" t="n">
        <x:v>18</x:v>
      </x:c>
      <x:c r="K110" s="36" t="n">
        <x:v>76.88888888888889</x:v>
      </x:c>
      <x:c r="L110" s="22" t="str">
        <x:v>猪肉饼</x:v>
      </x:c>
      <x:c r="M110" s="36" t="n">
        <x:v>1</x:v>
      </x:c>
      <x:c r="N110" s="22" t="str">
        <x:v>名称一致</x:v>
      </x:c>
    </x:row>
    <x:row r="111">
      <x:c r="A111" s="22" t="str">
        <x:v>荤菜</x:v>
      </x:c>
      <x:c r="B111" s="22" t="str">
        <x:v>猪肉饼</x:v>
      </x:c>
      <x:c r="C111" s="22" t="str">
        <x:v>花草</x:v>
      </x:c>
      <x:c r="D111" s="34" t="n">
        <x:v>5</x:v>
      </x:c>
      <x:c r="E111" s="34" t="n">
        <x:v>8</x:v>
      </x:c>
      <x:c r="F111" s="34" t="n">
        <x:v>62.5</x:v>
      </x:c>
      <x:c r="G111" s="34" t="n">
        <x:v>10</x:v>
      </x:c>
      <x:c r="H111" s="34" t="n">
        <x:v>0.16</x:v>
      </x:c>
      <x:c r="I111" s="34"/>
      <x:c r="J111" s="34"/>
      <x:c r="K111" s="36"/>
      <x:c r="L111" s="22" t="str">
        <x:v>黑鱼花</x:v>
      </x:c>
      <x:c r="M111" s="36" t="n">
        <x:v>0.4</x:v>
      </x:c>
      <x:c r="N111" s="22" t="str">
        <x:v>未匹配</x:v>
      </x:c>
    </x:row>
    <x:row r="112">
      <x:c r="A112" s="22" t="str">
        <x:v>荤菜</x:v>
      </x:c>
      <x:c r="B112" s="22" t="str">
        <x:v>猪肉饼</x:v>
      </x:c>
      <x:c r="C112" s="22" t="str">
        <x:v>猪肉饼</x:v>
      </x:c>
      <x:c r="D112" s="34" t="n">
        <x:v>50</x:v>
      </x:c>
      <x:c r="E112" s="34" t="n">
        <x:v>53</x:v>
      </x:c>
      <x:c r="F112" s="34" t="n">
        <x:v>94.33962264150944</x:v>
      </x:c>
      <x:c r="G112" s="34" t="str">
        <x:v>19.5/袋</x:v>
      </x:c>
      <x:c r="H112" s="34" t="n">
        <x:v>1.4</x:v>
      </x:c>
      <x:c r="I112" s="34" t="n">
        <x:v>11</x:v>
      </x:c>
      <x:c r="J112" s="34" t="n">
        <x:v>38</x:v>
      </x:c>
      <x:c r="K112" s="36" t="n">
        <x:v>71.05263157894737</x:v>
      </x:c>
      <x:c r="L112" s="22" t="str">
        <x:v>猪肉饼</x:v>
      </x:c>
      <x:c r="M112" s="36" t="n">
        <x:v>1</x:v>
      </x:c>
      <x:c r="N112" s="22" t="str">
        <x:v>名称一致</x:v>
      </x:c>
    </x:row>
    <x:row r="113">
      <x:c r="A113" s="22" t="str">
        <x:v>荤菜</x:v>
      </x:c>
      <x:c r="B113" s="22" t="str">
        <x:v>猪肉饼</x:v>
      </x:c>
      <x:c r="C113" s="22" t="str">
        <x:v>蟹柳</x:v>
      </x:c>
      <x:c r="D113" s="34" t="n">
        <x:v>77</x:v>
      </x:c>
      <x:c r="E113" s="34" t="n">
        <x:v>77</x:v>
      </x:c>
      <x:c r="F113" s="34" t="n">
        <x:v>100</x:v>
      </x:c>
      <x:c r="G113" s="34" t="n">
        <x:v>21.5</x:v>
      </x:c>
      <x:c r="H113" s="34" t="n">
        <x:v>3.34</x:v>
      </x:c>
      <x:c r="I113" s="34"/>
      <x:c r="J113" s="34"/>
      <x:c r="K113" s="36"/>
      <x:c r="L113" s="22" t="str">
        <x:v>千丝蟹柳</x:v>
      </x:c>
      <x:c r="M113" s="36" t="n">
        <x:v>0.84</x:v>
      </x:c>
      <x:c r="N113" s="22" t="str">
        <x:v>可能匹配待确认</x:v>
      </x:c>
    </x:row>
    <x:row r="114">
      <x:c r="A114" s="22" t="str">
        <x:v>荤菜</x:v>
      </x:c>
      <x:c r="B114" s="22" t="str">
        <x:v>猪肉饼</x:v>
      </x:c>
      <x:c r="C114" s="22" t="str">
        <x:v>牛肉丸</x:v>
      </x:c>
      <x:c r="D114" s="34" t="n">
        <x:v>65</x:v>
      </x:c>
      <x:c r="E114" s="34" t="n">
        <x:v>65</x:v>
      </x:c>
      <x:c r="F114" s="34" t="n">
        <x:v>100</x:v>
      </x:c>
      <x:c r="G114" s="34" t="str">
        <x:v>23.25/包</x:v>
      </x:c>
      <x:c r="H114" s="34" t="n">
        <x:v>3.05</x:v>
      </x:c>
      <x:c r="I114" s="34"/>
      <x:c r="J114" s="34"/>
      <x:c r="K114" s="36"/>
      <x:c r="L114" s="22" t="str">
        <x:v>牛肉浆</x:v>
      </x:c>
      <x:c r="M114" s="36" t="n">
        <x:v>0.6667</x:v>
      </x:c>
      <x:c r="N114" s="22" t="str">
        <x:v>未匹配</x:v>
      </x:c>
    </x:row>
    <x:row r="115">
      <x:c r="A115" s="22" t="str">
        <x:v>荤菜</x:v>
      </x:c>
      <x:c r="B115" s="22" t="str">
        <x:v>猪肉饼</x:v>
      </x:c>
      <x:c r="C115" s="22" t="str">
        <x:v>小香肠</x:v>
      </x:c>
      <x:c r="D115" s="34" t="n">
        <x:v>43</x:v>
      </x:c>
      <x:c r="E115" s="34" t="n">
        <x:v>43</x:v>
      </x:c>
      <x:c r="F115" s="34" t="n">
        <x:v>100</x:v>
      </x:c>
      <x:c r="G115" s="34" t="str">
        <x:v>6.34/包</x:v>
      </x:c>
      <x:c r="H115" s="34" t="n">
        <x:v>3.17</x:v>
      </x:c>
      <x:c r="I115" s="34"/>
      <x:c r="J115" s="34"/>
      <x:c r="K115" s="36"/>
      <x:c r="L115" s="22" t="str">
        <x:v>火锅小香肠</x:v>
      </x:c>
      <x:c r="M115" s="36" t="n">
        <x:v>0.86</x:v>
      </x:c>
      <x:c r="N115" s="22" t="str">
        <x:v>高相似待确认</x:v>
      </x:c>
    </x:row>
    <x:row r="116">
      <x:c r="A116" s="22" t="str">
        <x:v>荤菜</x:v>
      </x:c>
      <x:c r="B116" s="22" t="str">
        <x:v>云南百味鲜牛肉</x:v>
      </x:c>
      <x:c r="C116" s="22" t="str">
        <x:v>吊龙</x:v>
      </x:c>
      <x:c r="D116" s="34" t="n">
        <x:v>100</x:v>
      </x:c>
      <x:c r="E116" s="34" t="n">
        <x:v>100</x:v>
      </x:c>
      <x:c r="F116" s="34" t="n">
        <x:v>100</x:v>
      </x:c>
      <x:c r="G116" s="34" t="n">
        <x:v>50</x:v>
      </x:c>
      <x:c r="H116" s="34" t="n">
        <x:v>10</x:v>
      </x:c>
      <x:c r="I116" s="34" t="n">
        <x:v>39.31</x:v>
      </x:c>
      <x:c r="J116" s="34" t="n">
        <x:v>88</x:v>
      </x:c>
      <x:c r="K116" s="36" t="n">
        <x:v>55.32954545454545</x:v>
      </x:c>
      <x:c r="L116" s="22" t="str">
        <x:v>吊龙切片（吊龙前段）</x:v>
      </x:c>
      <x:c r="M116" s="36" t="n">
        <x:v>0.79</x:v>
      </x:c>
      <x:c r="N116" s="22" t="str">
        <x:v>可能匹配待确认</x:v>
      </x:c>
    </x:row>
    <x:row r="117">
      <x:c r="A117" s="22" t="str">
        <x:v>荤菜</x:v>
      </x:c>
      <x:c r="B117" s="22" t="str">
        <x:v>云南百味鲜牛肉</x:v>
      </x:c>
      <x:c r="C117" s="22" t="str">
        <x:v>板腱</x:v>
      </x:c>
      <x:c r="D117" s="34" t="n">
        <x:v>100</x:v>
      </x:c>
      <x:c r="E117" s="34" t="n">
        <x:v>100</x:v>
      </x:c>
      <x:c r="F117" s="34" t="n">
        <x:v>100</x:v>
      </x:c>
      <x:c r="G117" s="34" t="str">
        <x:v>17.1/袋</x:v>
      </x:c>
      <x:c r="H117" s="34" t="n">
        <x:v>11.4</x:v>
      </x:c>
      <x:c r="I117" s="34"/>
      <x:c r="J117" s="34"/>
      <x:c r="K117" s="36"/>
      <x:c r="L117" s="22" t="str">
        <x:v>板腱切片（五花趾）</x:v>
      </x:c>
      <x:c r="M117" s="36" t="n">
        <x:v>0.7971</x:v>
      </x:c>
      <x:c r="N117" s="22" t="str">
        <x:v>可能匹配待确认</x:v>
      </x:c>
    </x:row>
    <x:row r="118">
      <x:c r="A118" s="22" t="str">
        <x:v>荤菜</x:v>
      </x:c>
      <x:c r="B118" s="22" t="str">
        <x:v>云南百味鲜牛肉</x:v>
      </x:c>
      <x:c r="C118" s="22" t="str">
        <x:v>嫩肉</x:v>
      </x:c>
      <x:c r="D118" s="34" t="n">
        <x:v>100</x:v>
      </x:c>
      <x:c r="E118" s="34" t="n">
        <x:v>100</x:v>
      </x:c>
      <x:c r="F118" s="34" t="n">
        <x:v>100</x:v>
      </x:c>
      <x:c r="G118" s="34" t="str">
        <x:v>9.7/袋</x:v>
      </x:c>
      <x:c r="H118" s="34" t="n">
        <x:v>6.47</x:v>
      </x:c>
      <x:c r="I118" s="34"/>
      <x:c r="J118" s="34"/>
      <x:c r="K118" s="36"/>
      <x:c r="L118" s="22" t="str">
        <x:v>猪肉饼</x:v>
      </x:c>
      <x:c r="M118" s="36" t="n">
        <x:v>0.4</x:v>
      </x:c>
      <x:c r="N118" s="22" t="str">
        <x:v>未匹配</x:v>
      </x:c>
    </x:row>
    <x:row r="119">
      <x:c r="A119" s="22" t="str">
        <x:v>荤菜</x:v>
      </x:c>
      <x:c r="B119" s="22" t="str">
        <x:v>云南百味鲜牛肉</x:v>
      </x:c>
      <x:c r="C119" s="22" t="str">
        <x:v>西冷</x:v>
      </x:c>
      <x:c r="D119" s="34" t="n">
        <x:v>100</x:v>
      </x:c>
      <x:c r="E119" s="34" t="n">
        <x:v>100</x:v>
      </x:c>
      <x:c r="F119" s="34" t="n">
        <x:v>100</x:v>
      </x:c>
      <x:c r="G119" s="34" t="str">
        <x:v>12/袋</x:v>
      </x:c>
      <x:c r="H119" s="34" t="n">
        <x:v>10</x:v>
      </x:c>
      <x:c r="I119" s="34"/>
      <x:c r="J119" s="34"/>
      <x:c r="K119" s="36"/>
      <x:c r="L119" s="22" t="str">
        <x:v>鲜嫩西冷</x:v>
      </x:c>
      <x:c r="M119" s="36" t="n">
        <x:v>0.84</x:v>
      </x:c>
      <x:c r="N119" s="22" t="str">
        <x:v>可能匹配待确认</x:v>
      </x:c>
    </x:row>
    <x:row r="120">
      <x:c r="A120" s="22" t="str">
        <x:v>荤菜</x:v>
      </x:c>
      <x:c r="B120" s="22" t="str">
        <x:v>云南百味鲜牛肉</x:v>
      </x:c>
      <x:c r="C120" s="22" t="str">
        <x:v>辣椒</x:v>
      </x:c>
      <x:c r="D120" s="34" t="n">
        <x:v>50</x:v>
      </x:c>
      <x:c r="E120" s="34" t="n">
        <x:v>60</x:v>
      </x:c>
      <x:c r="F120" s="34" t="n">
        <x:v>83.33333333333334</x:v>
      </x:c>
      <x:c r="G120" s="34" t="n">
        <x:v>10</x:v>
      </x:c>
      <x:c r="H120" s="34" t="n">
        <x:v>1.2</x:v>
      </x:c>
      <x:c r="I120" s="34"/>
      <x:c r="J120" s="34"/>
      <x:c r="K120" s="36"/>
      <x:c r="L120" s="22" t="str">
        <x:v>特级丘北辣椒</x:v>
      </x:c>
      <x:c r="M120" s="36" t="n">
        <x:v>0.8067</x:v>
      </x:c>
      <x:c r="N120" s="22" t="str">
        <x:v>可能匹配待确认</x:v>
      </x:c>
    </x:row>
    <x:row r="121">
      <x:c r="A121" s="22" t="str">
        <x:v>荤菜</x:v>
      </x:c>
      <x:c r="B121" s="22" t="str">
        <x:v>云南百味鲜牛肉</x:v>
      </x:c>
      <x:c r="C121" s="22" t="str">
        <x:v>花草</x:v>
      </x:c>
      <x:c r="D121" s="34" t="n">
        <x:v>10</x:v>
      </x:c>
      <x:c r="E121" s="34" t="n">
        <x:v>12</x:v>
      </x:c>
      <x:c r="F121" s="34" t="n">
        <x:v>83.33333333333334</x:v>
      </x:c>
      <x:c r="G121" s="34" t="n">
        <x:v>10</x:v>
      </x:c>
      <x:c r="H121" s="34" t="n">
        <x:v>0.24</x:v>
      </x:c>
      <x:c r="I121" s="34"/>
      <x:c r="J121" s="34"/>
      <x:c r="K121" s="36"/>
      <x:c r="L121" s="22" t="str">
        <x:v>黑鱼花</x:v>
      </x:c>
      <x:c r="M121" s="36" t="n">
        <x:v>0.4</x:v>
      </x:c>
      <x:c r="N121" s="22" t="str">
        <x:v>未匹配</x:v>
      </x:c>
    </x:row>
    <x:row r="122">
      <x:c r="A122" s="22" t="str">
        <x:v>荤菜</x:v>
      </x:c>
      <x:c r="B122" s="22" t="str">
        <x:v>云南百味鲜牛肉</x:v>
      </x:c>
      <x:c r="C122" s="22" t="str">
        <x:v>鱼花</x:v>
      </x:c>
      <x:c r="D122" s="34" t="n">
        <x:v>250</x:v>
      </x:c>
      <x:c r="E122" s="34" t="n">
        <x:v>250</x:v>
      </x:c>
      <x:c r="F122" s="34" t="n">
        <x:v>100</x:v>
      </x:c>
      <x:c r="G122" s="34" t="str">
        <x:v>11.72包</x:v>
      </x:c>
      <x:c r="H122" s="34" t="n">
        <x:v>11.72</x:v>
      </x:c>
      <x:c r="I122" s="34" t="n">
        <x:v>11.72</x:v>
      </x:c>
      <x:c r="J122" s="34" t="n">
        <x:v>36</x:v>
      </x:c>
      <x:c r="K122" s="36" t="n">
        <x:v>67.44444444444446</x:v>
      </x:c>
      <x:c r="L122" s="22" t="str">
        <x:v>黑鱼花</x:v>
      </x:c>
      <x:c r="M122" s="36" t="n">
        <x:v>0.8733</x:v>
      </x:c>
      <x:c r="N122" s="22" t="str">
        <x:v>高相似待确认</x:v>
      </x:c>
    </x:row>
    <x:row r="123">
      <x:c r="A123" s="22" t="str">
        <x:v>荤菜</x:v>
      </x:c>
      <x:c r="B123" s="22" t="str">
        <x:v>云滇三脆</x:v>
      </x:c>
      <x:c r="C123" s="22" t="str">
        <x:v>毛肚</x:v>
      </x:c>
      <x:c r="D123" s="34" t="n">
        <x:v>50</x:v>
      </x:c>
      <x:c r="E123" s="34" t="n">
        <x:v>69.5</x:v>
      </x:c>
      <x:c r="F123" s="34" t="n">
        <x:v>71.94244604316548</x:v>
      </x:c>
      <x:c r="G123" s="34" t="str">
        <x:v>217.6包</x:v>
      </x:c>
      <x:c r="H123" s="34" t="n">
        <x:v>6.05</x:v>
      </x:c>
      <x:c r="I123" s="34" t="n">
        <x:v>11.5</x:v>
      </x:c>
      <x:c r="J123" s="34" t="n">
        <x:v>55</x:v>
      </x:c>
      <x:c r="K123" s="36" t="n">
        <x:v>79.09090909090908</x:v>
      </x:c>
      <x:c r="L123" s="22" t="str">
        <x:v>精选水牛脆毛肚</x:v>
      </x:c>
      <x:c r="M123" s="36" t="n">
        <x:v>0.7971</x:v>
      </x:c>
      <x:c r="N123" s="22" t="str">
        <x:v>可能匹配待确认</x:v>
      </x:c>
    </x:row>
    <x:row r="124">
      <x:c r="A124" s="22" t="str">
        <x:v>荤菜</x:v>
      </x:c>
      <x:c r="B124" s="22" t="str">
        <x:v>云滇三脆</x:v>
      </x:c>
      <x:c r="C124" s="22" t="str">
        <x:v>黄喉</x:v>
      </x:c>
      <x:c r="D124" s="34" t="n">
        <x:v>50</x:v>
      </x:c>
      <x:c r="E124" s="34" t="n">
        <x:v>58</x:v>
      </x:c>
      <x:c r="F124" s="34" t="n">
        <x:v>86.20689655172414</x:v>
      </x:c>
      <x:c r="G124" s="34" t="str">
        <x:v>28.2斤</x:v>
      </x:c>
      <x:c r="H124" s="34" t="n">
        <x:v>3.28</x:v>
      </x:c>
      <x:c r="I124" s="34"/>
      <x:c r="J124" s="34"/>
      <x:c r="K124" s="36"/>
      <x:c r="L124" s="22" t="str">
        <x:v>猪黄喉</x:v>
      </x:c>
      <x:c r="M124" s="36" t="n">
        <x:v>0.8733</x:v>
      </x:c>
      <x:c r="N124" s="22" t="str">
        <x:v>高相似待确认</x:v>
      </x:c>
    </x:row>
    <x:row r="125">
      <x:c r="A125" s="22" t="str">
        <x:v>荤菜</x:v>
      </x:c>
      <x:c r="B125" s="22" t="str">
        <x:v>云滇三脆</x:v>
      </x:c>
      <x:c r="C125" s="22" t="str">
        <x:v>鸭肠</x:v>
      </x:c>
      <x:c r="D125" s="34" t="n">
        <x:v>50</x:v>
      </x:c>
      <x:c r="E125" s="34" t="n">
        <x:v>58</x:v>
      </x:c>
      <x:c r="F125" s="34" t="n">
        <x:v>86.20689655172414</x:v>
      </x:c>
      <x:c r="G125" s="34" t="str">
        <x:v>18.67包</x:v>
      </x:c>
      <x:c r="H125" s="34" t="n">
        <x:v>2.17</x:v>
      </x:c>
      <x:c r="I125" s="34"/>
      <x:c r="J125" s="34"/>
      <x:c r="K125" s="36"/>
      <x:c r="L125" s="22" t="str">
        <x:v>鸭肠</x:v>
      </x:c>
      <x:c r="M125" s="36" t="n">
        <x:v>1</x:v>
      </x:c>
      <x:c r="N125" s="22" t="str">
        <x:v>名称一致</x:v>
      </x:c>
    </x:row>
    <x:row r="126">
      <x:c r="A126" s="22" t="str">
        <x:v>荤菜</x:v>
      </x:c>
      <x:c r="B126" s="22" t="str">
        <x:v>黄牛脆毛肚</x:v>
      </x:c>
      <x:c r="C126" s="22" t="str">
        <x:v>毛肚</x:v>
      </x:c>
      <x:c r="D126" s="34" t="n">
        <x:v>120</x:v>
      </x:c>
      <x:c r="E126" s="34" t="n">
        <x:v>167</x:v>
      </x:c>
      <x:c r="F126" s="34" t="n">
        <x:v>71.8562874251497</x:v>
      </x:c>
      <x:c r="G126" s="34" t="str">
        <x:v>217.6包</x:v>
      </x:c>
      <x:c r="H126" s="34" t="n">
        <x:v>13</x:v>
      </x:c>
      <x:c r="I126" s="34" t="n">
        <x:v>13.16</x:v>
      </x:c>
      <x:c r="J126" s="34" t="n">
        <x:v>38</x:v>
      </x:c>
      <x:c r="K126" s="36" t="n">
        <x:v>65.36842105263158</x:v>
      </x:c>
      <x:c r="L126" s="22" t="str">
        <x:v>精选水牛脆毛肚</x:v>
      </x:c>
      <x:c r="M126" s="36" t="n">
        <x:v>0.7971</x:v>
      </x:c>
      <x:c r="N126" s="22" t="str">
        <x:v>可能匹配待确认</x:v>
      </x:c>
    </x:row>
    <x:row r="127">
      <x:c r="A127" s="22" t="str">
        <x:v>荤菜</x:v>
      </x:c>
      <x:c r="B127" s="22" t="str">
        <x:v>黄牛脆毛肚</x:v>
      </x:c>
      <x:c r="C127" s="22" t="str">
        <x:v>花草</x:v>
      </x:c>
      <x:c r="D127" s="34" t="n">
        <x:v>5</x:v>
      </x:c>
      <x:c r="E127" s="34" t="n">
        <x:v>8</x:v>
      </x:c>
      <x:c r="F127" s="34" t="n">
        <x:v>62.5</x:v>
      </x:c>
      <x:c r="G127" s="34" t="n">
        <x:v>10</x:v>
      </x:c>
      <x:c r="H127" s="34" t="n">
        <x:v>0.16</x:v>
      </x:c>
      <x:c r="I127" s="34"/>
      <x:c r="J127" s="34"/>
      <x:c r="K127" s="36"/>
      <x:c r="L127" s="22" t="str">
        <x:v>黑鱼花</x:v>
      </x:c>
      <x:c r="M127" s="36" t="n">
        <x:v>0.4</x:v>
      </x:c>
      <x:c r="N127" s="22" t="str">
        <x:v>未匹配</x:v>
      </x:c>
    </x:row>
    <x:row r="128">
      <x:c r="A128" s="22" t="str">
        <x:v>荤菜</x:v>
      </x:c>
      <x:c r="B128" s="22" t="str">
        <x:v>脆爽黄喉</x:v>
      </x:c>
      <x:c r="C128" s="22" t="str">
        <x:v>黄喉</x:v>
      </x:c>
      <x:c r="D128" s="34" t="n">
        <x:v>120</x:v>
      </x:c>
      <x:c r="E128" s="34" t="n">
        <x:v>139.6</x:v>
      </x:c>
      <x:c r="F128" s="34" t="n">
        <x:v>85.9598853868195</x:v>
      </x:c>
      <x:c r="G128" s="34" t="str">
        <x:v>28.2斤</x:v>
      </x:c>
      <x:c r="H128" s="34" t="n">
        <x:v>7.88</x:v>
      </x:c>
      <x:c r="I128" s="34" t="n">
        <x:v>7.88</x:v>
      </x:c>
      <x:c r="J128" s="34" t="n">
        <x:v>36</x:v>
      </x:c>
      <x:c r="K128" s="36" t="n">
        <x:v>78.11111111111111</x:v>
      </x:c>
      <x:c r="L128" s="22" t="str">
        <x:v>猪黄喉</x:v>
      </x:c>
      <x:c r="M128" s="36" t="n">
        <x:v>0.8733</x:v>
      </x:c>
      <x:c r="N128" s="22" t="str">
        <x:v>高相似待确认</x:v>
      </x:c>
    </x:row>
    <x:row r="129">
      <x:c r="A129" s="22" t="str">
        <x:v>荤菜</x:v>
      </x:c>
      <x:c r="B129" s="22" t="str">
        <x:v>乳山大生蚝</x:v>
      </x:c>
      <x:c r="C129" s="22" t="str">
        <x:v>生蚝/个</x:v>
      </x:c>
      <x:c r="D129" s="34" t="n">
        <x:v>1</x:v>
      </x:c>
      <x:c r="E129" s="34" t="n">
        <x:v>1</x:v>
      </x:c>
      <x:c r="F129" s="34" t="n">
        <x:v>100</x:v>
      </x:c>
      <x:c r="G129" s="34" t="str">
        <x:v>10个</x:v>
      </x:c>
      <x:c r="H129" s="34" t="n">
        <x:v>10</x:v>
      </x:c>
      <x:c r="I129" s="34" t="n">
        <x:v>10</x:v>
      </x:c>
      <x:c r="J129" s="34" t="n">
        <x:v>18</x:v>
      </x:c>
      <x:c r="K129" s="36" t="n">
        <x:v>44.44444444444444</x:v>
      </x:c>
      <x:c r="L129" s="22" t="str">
        <x:v>生蚝</x:v>
      </x:c>
      <x:c r="M129" s="36" t="n">
        <x:v>0.8733</x:v>
      </x:c>
      <x:c r="N129" s="22" t="str">
        <x:v>高相似待确认</x:v>
      </x:c>
    </x:row>
    <x:row r="130">
      <x:c r="A130" s="22" t="str">
        <x:v>荤菜</x:v>
      </x:c>
      <x:c r="B130" s="22" t="str">
        <x:v>鸭肠</x:v>
      </x:c>
      <x:c r="C130" s="22" t="str">
        <x:v>鸭肠</x:v>
      </x:c>
      <x:c r="D130" s="34" t="n">
        <x:v>130</x:v>
      </x:c>
      <x:c r="E130" s="34" t="n">
        <x:v>135</x:v>
      </x:c>
      <x:c r="F130" s="34" t="n">
        <x:v>96.29629629629629</x:v>
      </x:c>
      <x:c r="G130" s="34" t="str">
        <x:v>18.67包</x:v>
      </x:c>
      <x:c r="H130" s="34" t="n">
        <x:v>5.05</x:v>
      </x:c>
      <x:c r="I130" s="34" t="n">
        <x:v>5.05</x:v>
      </x:c>
      <x:c r="J130" s="34" t="n">
        <x:v>26</x:v>
      </x:c>
      <x:c r="K130" s="36" t="n">
        <x:v>80.57692307692307</x:v>
      </x:c>
      <x:c r="L130" s="22" t="str">
        <x:v>鸭肠</x:v>
      </x:c>
      <x:c r="M130" s="36" t="n">
        <x:v>1</x:v>
      </x:c>
      <x:c r="N130" s="22" t="str">
        <x:v>名称一致</x:v>
      </x:c>
    </x:row>
    <x:row r="131">
      <x:c r="A131" s="22" t="str">
        <x:v>素菜</x:v>
      </x:c>
      <x:c r="B131" s="22" t="str">
        <x:v>新平酸菜</x:v>
      </x:c>
      <x:c r="C131" s="22" t="str">
        <x:v>酸菜</x:v>
      </x:c>
      <x:c r="D131" s="34" t="n">
        <x:v>170</x:v>
      </x:c>
      <x:c r="E131" s="34" t="n">
        <x:v>175</x:v>
      </x:c>
      <x:c r="F131" s="34" t="n">
        <x:v>97.14285714285714</x:v>
      </x:c>
      <x:c r="G131" s="34" t="n">
        <x:v>4.3</x:v>
      </x:c>
      <x:c r="H131" s="34" t="n">
        <x:v>1.5</x:v>
      </x:c>
      <x:c r="I131" s="34" t="n">
        <x:v>1.5</x:v>
      </x:c>
      <x:c r="J131" s="34" t="n">
        <x:v>12</x:v>
      </x:c>
      <x:c r="K131" s="36" t="n">
        <x:v>87.5</x:v>
      </x:c>
      <x:c r="L131" s="22" t="str">
        <x:v>新平酸菜（整）</x:v>
      </x:c>
      <x:c r="M131" s="36" t="n">
        <x:v>0.82</x:v>
      </x:c>
      <x:c r="N131" s="22" t="str">
        <x:v>可能匹配待确认</x:v>
      </x:c>
    </x:row>
    <x:row r="132">
      <x:c r="A132" s="22" t="str">
        <x:v>素菜</x:v>
      </x:c>
      <x:c r="B132" s="22" t="str">
        <x:v>元阳哈尼米线</x:v>
      </x:c>
      <x:c r="C132" s="22" t="str">
        <x:v>米线</x:v>
      </x:c>
      <x:c r="D132" s="34" t="n">
        <x:v>200</x:v>
      </x:c>
      <x:c r="E132" s="34" t="n">
        <x:v>90.9</x:v>
      </x:c>
      <x:c r="F132" s="34" t="n">
        <x:v>220.02200220022002</x:v>
      </x:c>
      <x:c r="G132" s="34" t="n">
        <x:v>8.76</x:v>
      </x:c>
      <x:c r="H132" s="34" t="n">
        <x:v>1.6</x:v>
      </x:c>
      <x:c r="I132" s="34" t="n">
        <x:v>1.6</x:v>
      </x:c>
      <x:c r="J132" s="34" t="n">
        <x:v>8</x:v>
      </x:c>
      <x:c r="K132" s="36" t="n">
        <x:v>80</x:v>
      </x:c>
      <x:c r="L132" s="22" t="str">
        <x:v>白米线</x:v>
      </x:c>
      <x:c r="M132" s="36" t="n">
        <x:v>0.8733</x:v>
      </x:c>
      <x:c r="N132" s="22" t="str">
        <x:v>高相似待确认</x:v>
      </x:c>
    </x:row>
    <x:row r="133">
      <x:c r="A133" s="22" t="str">
        <x:v>素菜</x:v>
      </x:c>
      <x:c r="B133" s="22" t="str">
        <x:v>石屏豆腐皮</x:v>
      </x:c>
      <x:c r="C133" s="22" t="str">
        <x:v>豆皮</x:v>
      </x:c>
      <x:c r="D133" s="34" t="n">
        <x:v>120</x:v>
      </x:c>
      <x:c r="E133" s="34" t="n">
        <x:v>50</x:v>
      </x:c>
      <x:c r="F133" s="34" t="n">
        <x:v>240</x:v>
      </x:c>
      <x:c r="G133" s="34" t="n">
        <x:v>8.8</x:v>
      </x:c>
      <x:c r="H133" s="34" t="n">
        <x:v>1</x:v>
      </x:c>
      <x:c r="I133" s="34" t="n">
        <x:v>1</x:v>
      </x:c>
      <x:c r="J133" s="34" t="n">
        <x:v>10</x:v>
      </x:c>
      <x:c r="K133" s="36" t="n">
        <x:v>90</x:v>
      </x:c>
      <x:c r="L133" s="22" t="str">
        <x:v>云南豆腐皮</x:v>
      </x:c>
      <x:c r="M133" s="36" t="n">
        <x:v>0.5714</x:v>
      </x:c>
      <x:c r="N133" s="22" t="str">
        <x:v>未匹配</x:v>
      </x:c>
    </x:row>
    <x:row r="134">
      <x:c r="A134" s="22" t="str">
        <x:v>素菜</x:v>
      </x:c>
      <x:c r="B134" s="22" t="str">
        <x:v>石屏黑豆花</x:v>
      </x:c>
      <x:c r="C134" s="22" t="str">
        <x:v>豆花</x:v>
      </x:c>
      <x:c r="D134" s="34" t="n">
        <x:v>160</x:v>
      </x:c>
      <x:c r="E134" s="34" t="n">
        <x:v>160</x:v>
      </x:c>
      <x:c r="F134" s="34" t="n">
        <x:v>100</x:v>
      </x:c>
      <x:c r="G134" s="34" t="str">
        <x:v>6.9盒</x:v>
      </x:c>
      <x:c r="H134" s="34" t="n">
        <x:v>2.76</x:v>
      </x:c>
      <x:c r="I134" s="34" t="n">
        <x:v>3.06</x:v>
      </x:c>
      <x:c r="J134" s="34" t="n">
        <x:v>12</x:v>
      </x:c>
      <x:c r="K134" s="36" t="n">
        <x:v>74.5</x:v>
      </x:c>
      <x:c r="L134" s="22" t="str">
        <x:v>黑豆花</x:v>
      </x:c>
      <x:c r="M134" s="36" t="n">
        <x:v>0.8733</x:v>
      </x:c>
      <x:c r="N134" s="22" t="str">
        <x:v>高相似待确认</x:v>
      </x:c>
    </x:row>
    <x:row r="135">
      <x:c r="A135" s="22" t="str">
        <x:v>素菜</x:v>
      </x:c>
      <x:c r="B135" s="22" t="str">
        <x:v>石屏黑豆花</x:v>
      </x:c>
      <x:c r="C135" s="22" t="str">
        <x:v>花草</x:v>
      </x:c>
      <x:c r="D135" s="34"/>
      <x:c r="E135" s="34"/>
      <x:c r="F135" s="34"/>
      <x:c r="G135" s="34"/>
      <x:c r="H135" s="34" t="n">
        <x:v>0.3</x:v>
      </x:c>
      <x:c r="I135" s="34"/>
      <x:c r="J135" s="34"/>
      <x:c r="K135" s="36"/>
      <x:c r="L135" s="22" t="str">
        <x:v>黑鱼花</x:v>
      </x:c>
      <x:c r="M135" s="36" t="n">
        <x:v>0.4</x:v>
      </x:c>
      <x:c r="N135" s="22" t="str">
        <x:v>未匹配</x:v>
      </x:c>
    </x:row>
    <x:row r="136">
      <x:c r="A136" s="22" t="str">
        <x:v>素菜</x:v>
      </x:c>
      <x:c r="B136" s="22" t="str">
        <x:v>薄荷</x:v>
      </x:c>
      <x:c r="C136" s="22" t="str">
        <x:v>薄荷</x:v>
      </x:c>
      <x:c r="D136" s="34" t="n">
        <x:v>50</x:v>
      </x:c>
      <x:c r="E136" s="34" t="n">
        <x:v>74.7</x:v>
      </x:c>
      <x:c r="F136" s="34" t="n">
        <x:v>66.93440428380187</x:v>
      </x:c>
      <x:c r="G136" s="34" t="n">
        <x:v>10</x:v>
      </x:c>
      <x:c r="H136" s="34" t="n">
        <x:v>1.5</x:v>
      </x:c>
      <x:c r="I136" s="34" t="n">
        <x:v>1.5</x:v>
      </x:c>
      <x:c r="J136" s="34" t="n">
        <x:v>12</x:v>
      </x:c>
      <x:c r="K136" s="36" t="n">
        <x:v>87.5</x:v>
      </x:c>
      <x:c r="L136" s="22" t="str">
        <x:v>龙爪菇</x:v>
      </x:c>
      <x:c r="M136" s="36" t="n">
        <x:v>0</x:v>
      </x:c>
      <x:c r="N136" s="22" t="str">
        <x:v>未匹配</x:v>
      </x:c>
    </x:row>
    <x:row r="137">
      <x:c r="A137" s="22" t="str">
        <x:v>素菜</x:v>
      </x:c>
      <x:c r="B137" s="22" t="str">
        <x:v>海带嫩芽</x:v>
      </x:c>
      <x:c r="C137" s="22" t="str">
        <x:v>海带芽</x:v>
      </x:c>
      <x:c r="D137" s="34" t="n">
        <x:v>120</x:v>
      </x:c>
      <x:c r="E137" s="34" t="n">
        <x:v>120</x:v>
      </x:c>
      <x:c r="F137" s="34" t="n">
        <x:v>100</x:v>
      </x:c>
      <x:c r="G137" s="34" t="n">
        <x:v>9.25</x:v>
      </x:c>
      <x:c r="H137" s="34" t="n">
        <x:v>2.04</x:v>
      </x:c>
      <x:c r="I137" s="34" t="n">
        <x:v>2.04</x:v>
      </x:c>
      <x:c r="J137" s="34" t="n">
        <x:v>10</x:v>
      </x:c>
      <x:c r="K137" s="36" t="n">
        <x:v>79.6</x:v>
      </x:c>
      <x:c r="L137" s="22" t="str">
        <x:v>海螺片</x:v>
      </x:c>
      <x:c r="M137" s="36" t="n">
        <x:v>0.3333</x:v>
      </x:c>
      <x:c r="N137" s="22" t="str">
        <x:v>未匹配</x:v>
      </x:c>
    </x:row>
    <x:row r="138">
      <x:c r="A138" s="22" t="str">
        <x:v>素菜</x:v>
      </x:c>
      <x:c r="B138" s="22" t="str">
        <x:v>云南曲靖饵块</x:v>
      </x:c>
      <x:c r="C138" s="22" t="str">
        <x:v>饵块</x:v>
      </x:c>
      <x:c r="D138" s="34" t="n">
        <x:v>108</x:v>
      </x:c>
      <x:c r="E138" s="34" t="n">
        <x:v>113</x:v>
      </x:c>
      <x:c r="F138" s="34" t="n">
        <x:v>95.57522123893806</x:v>
      </x:c>
      <x:c r="G138" s="34" t="n">
        <x:v>4.25</x:v>
      </x:c>
      <x:c r="H138" s="34" t="n">
        <x:v>0.97</x:v>
      </x:c>
      <x:c r="I138" s="34" t="n">
        <x:v>1.07</x:v>
      </x:c>
      <x:c r="J138" s="34" t="n">
        <x:v>12</x:v>
      </x:c>
      <x:c r="K138" s="36" t="n">
        <x:v>91.08333333333333</x:v>
      </x:c>
      <x:c r="L138" s="22" t="str">
        <x:v>饵块</x:v>
      </x:c>
      <x:c r="M138" s="36" t="n">
        <x:v>1</x:v>
      </x:c>
      <x:c r="N138" s="22" t="str">
        <x:v>名称一致</x:v>
      </x:c>
    </x:row>
    <x:row r="139">
      <x:c r="A139" s="22" t="str">
        <x:v>素菜</x:v>
      </x:c>
      <x:c r="B139" s="22" t="str">
        <x:v>手剥丛林嫩笋</x:v>
      </x:c>
      <x:c r="C139" s="22" t="str">
        <x:v>嫩笋</x:v>
      </x:c>
      <x:c r="D139" s="34" t="n">
        <x:v>160</x:v>
      </x:c>
      <x:c r="E139" s="34" t="n">
        <x:v>185</x:v>
      </x:c>
      <x:c r="F139" s="34" t="n">
        <x:v>86.48648648648648</x:v>
      </x:c>
      <x:c r="G139" s="34" t="n">
        <x:v>15.3</x:v>
      </x:c>
      <x:c r="H139" s="34" t="n">
        <x:v>5.67</x:v>
      </x:c>
      <x:c r="I139" s="34" t="n">
        <x:v>5.67</x:v>
      </x:c>
      <x:c r="J139" s="34" t="n">
        <x:v>18</x:v>
      </x:c>
      <x:c r="K139" s="36" t="n">
        <x:v>68.5</x:v>
      </x:c>
      <x:c r="L139" s="22" t="str">
        <x:v>鞭炮笋</x:v>
      </x:c>
      <x:c r="M139" s="36" t="n">
        <x:v>0.4</x:v>
      </x:c>
      <x:c r="N139" s="22" t="str">
        <x:v>未匹配</x:v>
      </x:c>
    </x:row>
    <x:row r="140">
      <x:c r="A140" s="22" t="str">
        <x:v>素菜</x:v>
      </x:c>
      <x:c r="B140" s="22" t="str">
        <x:v>手剥丛林嫩笋</x:v>
      </x:c>
      <x:c r="C140" s="22" t="str">
        <x:v>花草</x:v>
      </x:c>
      <x:c r="D140" s="34"/>
      <x:c r="E140" s="34"/>
      <x:c r="F140" s="34"/>
      <x:c r="G140" s="34" t="n">
        <x:v>10</x:v>
      </x:c>
      <x:c r="H140" s="34"/>
      <x:c r="I140" s="34"/>
      <x:c r="J140" s="34"/>
      <x:c r="K140" s="36"/>
      <x:c r="L140" s="22" t="str">
        <x:v>黑鱼花</x:v>
      </x:c>
      <x:c r="M140" s="36" t="n">
        <x:v>0.4</x:v>
      </x:c>
      <x:c r="N140" s="22" t="str">
        <x:v>未匹配</x:v>
      </x:c>
    </x:row>
    <x:row r="141">
      <x:c r="A141" s="22" t="str">
        <x:v>素菜</x:v>
      </x:c>
      <x:c r="B141" s="22" t="str">
        <x:v>云滇豆三拼</x:v>
      </x:c>
      <x:c r="C141" s="22" t="str">
        <x:v>包浆豆腐</x:v>
      </x:c>
      <x:c r="D141" s="34" t="n">
        <x:v>70</x:v>
      </x:c>
      <x:c r="E141" s="34" t="n">
        <x:v>70</x:v>
      </x:c>
      <x:c r="F141" s="34" t="n">
        <x:v>100</x:v>
      </x:c>
      <x:c r="G141" s="34" t="str">
        <x:v>6.5盒</x:v>
      </x:c>
      <x:c r="H141" s="34" t="n">
        <x:v>1.4</x:v>
      </x:c>
      <x:c r="I141" s="34" t="n">
        <x:v>3.46</x:v>
      </x:c>
      <x:c r="J141" s="34" t="n">
        <x:v>24</x:v>
      </x:c>
      <x:c r="K141" s="36" t="n">
        <x:v>85.58333333333333</x:v>
      </x:c>
      <x:c r="L141" s="22" t="str">
        <x:v>包浆豆腐（大）</x:v>
      </x:c>
      <x:c r="M141" s="36" t="n">
        <x:v>0.9</x:v>
      </x:c>
      <x:c r="N141" s="22" t="str">
        <x:v>高相似待确认</x:v>
      </x:c>
    </x:row>
    <x:row r="142">
      <x:c r="A142" s="22" t="str">
        <x:v>素菜</x:v>
      </x:c>
      <x:c r="B142" s="22" t="str">
        <x:v>云滇豆三拼</x:v>
      </x:c>
      <x:c r="C142" s="22" t="str">
        <x:v>黑豆花</x:v>
      </x:c>
      <x:c r="D142" s="34" t="n">
        <x:v>80</x:v>
      </x:c>
      <x:c r="E142" s="34" t="n">
        <x:v>80</x:v>
      </x:c>
      <x:c r="F142" s="34" t="n">
        <x:v>100</x:v>
      </x:c>
      <x:c r="G142" s="34" t="str">
        <x:v>6.9盒</x:v>
      </x:c>
      <x:c r="H142" s="34" t="n">
        <x:v>1.4</x:v>
      </x:c>
      <x:c r="I142" s="34"/>
      <x:c r="J142" s="34"/>
      <x:c r="K142" s="36"/>
      <x:c r="L142" s="22" t="str">
        <x:v>黑豆花</x:v>
      </x:c>
      <x:c r="M142" s="36" t="n">
        <x:v>1</x:v>
      </x:c>
      <x:c r="N142" s="22" t="str">
        <x:v>名称一致</x:v>
      </x:c>
    </x:row>
    <x:row r="143">
      <x:c r="A143" s="22" t="str">
        <x:v>素菜</x:v>
      </x:c>
      <x:c r="B143" s="22" t="str">
        <x:v>云滇豆三拼</x:v>
      </x:c>
      <x:c r="C143" s="22" t="str">
        <x:v>豆腐皮</x:v>
      </x:c>
      <x:c r="D143" s="34" t="n">
        <x:v>60</x:v>
      </x:c>
      <x:c r="E143" s="34" t="n">
        <x:v>25</x:v>
      </x:c>
      <x:c r="F143" s="34" t="n">
        <x:v>240</x:v>
      </x:c>
      <x:c r="G143" s="34" t="n">
        <x:v>8.8</x:v>
      </x:c>
      <x:c r="H143" s="34" t="n">
        <x:v>0.5</x:v>
      </x:c>
      <x:c r="I143" s="34"/>
      <x:c r="J143" s="34"/>
      <x:c r="K143" s="36"/>
      <x:c r="L143" s="22" t="str">
        <x:v>云南豆腐皮</x:v>
      </x:c>
      <x:c r="M143" s="36" t="n">
        <x:v>0.86</x:v>
      </x:c>
      <x:c r="N143" s="22" t="str">
        <x:v>高相似待确认</x:v>
      </x:c>
    </x:row>
    <x:row r="144">
      <x:c r="A144" s="22" t="str">
        <x:v>素菜</x:v>
      </x:c>
      <x:c r="B144" s="22" t="str">
        <x:v>云滇豆三拼</x:v>
      </x:c>
      <x:c r="C144" s="22" t="str">
        <x:v>花草</x:v>
      </x:c>
      <x:c r="D144" s="34" t="n">
        <x:v>5</x:v>
      </x:c>
      <x:c r="E144" s="34" t="n">
        <x:v>8</x:v>
      </x:c>
      <x:c r="F144" s="34" t="n">
        <x:v>62.5</x:v>
      </x:c>
      <x:c r="G144" s="34" t="n">
        <x:v>10</x:v>
      </x:c>
      <x:c r="H144" s="34" t="n">
        <x:v>0.16</x:v>
      </x:c>
      <x:c r="I144" s="34"/>
      <x:c r="J144" s="34"/>
      <x:c r="K144" s="36"/>
      <x:c r="L144" s="22" t="str">
        <x:v>黑鱼花</x:v>
      </x:c>
      <x:c r="M144" s="36" t="n">
        <x:v>0.4</x:v>
      </x:c>
      <x:c r="N144" s="22" t="str">
        <x:v>未匹配</x:v>
      </x:c>
    </x:row>
    <x:row r="145">
      <x:c r="A145" s="22" t="str">
        <x:v>素菜</x:v>
      </x:c>
      <x:c r="B145" s="22" t="str">
        <x:v>娃娃菜</x:v>
      </x:c>
      <x:c r="C145" s="22" t="str">
        <x:v>娃娃菜</x:v>
      </x:c>
      <x:c r="D145" s="34" t="n">
        <x:v>120</x:v>
      </x:c>
      <x:c r="E145" s="34" t="n">
        <x:v>130</x:v>
      </x:c>
      <x:c r="F145" s="34" t="n">
        <x:v>92.3076923076923</x:v>
      </x:c>
      <x:c r="G145" s="34" t="n">
        <x:v>6</x:v>
      </x:c>
      <x:c r="H145" s="34" t="n">
        <x:v>1.6</x:v>
      </x:c>
      <x:c r="I145" s="34" t="n">
        <x:v>1.76</x:v>
      </x:c>
      <x:c r="J145" s="34" t="n">
        <x:v>10</x:v>
      </x:c>
      <x:c r="K145" s="36" t="n">
        <x:v>82.39999999999999</x:v>
      </x:c>
      <x:c r="L145" s="22" t="str">
        <x:v>野菜糍粑</x:v>
      </x:c>
      <x:c r="M145" s="36" t="n">
        <x:v>0.2857</x:v>
      </x:c>
      <x:c r="N145" s="22" t="str">
        <x:v>未匹配</x:v>
      </x:c>
    </x:row>
    <x:row r="146">
      <x:c r="A146" s="22" t="str">
        <x:v>素菜</x:v>
      </x:c>
      <x:c r="B146" s="22" t="str">
        <x:v>娃娃菜</x:v>
      </x:c>
      <x:c r="C146" s="22" t="str">
        <x:v>花草</x:v>
      </x:c>
      <x:c r="D146" s="34" t="n">
        <x:v>5</x:v>
      </x:c>
      <x:c r="E146" s="34" t="n">
        <x:v>8</x:v>
      </x:c>
      <x:c r="F146" s="34" t="n">
        <x:v>62.5</x:v>
      </x:c>
      <x:c r="G146" s="34" t="n">
        <x:v>10</x:v>
      </x:c>
      <x:c r="H146" s="34" t="n">
        <x:v>0.16</x:v>
      </x:c>
      <x:c r="I146" s="34"/>
      <x:c r="J146" s="34"/>
      <x:c r="K146" s="36"/>
      <x:c r="L146" s="22" t="str">
        <x:v>黑鱼花</x:v>
      </x:c>
      <x:c r="M146" s="36" t="n">
        <x:v>0.4</x:v>
      </x:c>
      <x:c r="N146" s="22" t="str">
        <x:v>未匹配</x:v>
      </x:c>
    </x:row>
    <x:row r="147">
      <x:c r="A147" s="22" t="str">
        <x:v>素菜</x:v>
      </x:c>
      <x:c r="B147" s="22" t="str">
        <x:v>豌豆苗/长寿菜</x:v>
      </x:c>
      <x:c r="C147" s="22" t="str">
        <x:v>豌豆尖</x:v>
      </x:c>
      <x:c r="D147" s="34" t="n">
        <x:v>80</x:v>
      </x:c>
      <x:c r="E147" s="34" t="n">
        <x:v>100</x:v>
      </x:c>
      <x:c r="F147" s="34" t="n">
        <x:v>80</x:v>
      </x:c>
      <x:c r="G147" s="34" t="n">
        <x:v>7</x:v>
      </x:c>
      <x:c r="H147" s="34" t="n">
        <x:v>1.4</x:v>
      </x:c>
      <x:c r="I147" s="34" t="n">
        <x:v>1.4</x:v>
      </x:c>
      <x:c r="J147" s="34" t="n">
        <x:v>12</x:v>
      </x:c>
      <x:c r="K147" s="36" t="n">
        <x:v>88.33333333333333</x:v>
      </x:c>
      <x:c r="L147" s="22" t="str">
        <x:v>黑豆花</x:v>
      </x:c>
      <x:c r="M147" s="36" t="n">
        <x:v>0.3333</x:v>
      </x:c>
      <x:c r="N147" s="22" t="str">
        <x:v>未匹配</x:v>
      </x:c>
    </x:row>
    <x:row r="148">
      <x:c r="A148" s="22" t="str">
        <x:v>素菜</x:v>
      </x:c>
      <x:c r="B148" s="22" t="str">
        <x:v>水性杨花</x:v>
      </x:c>
      <x:c r="C148" s="22" t="str">
        <x:v>水性杨花</x:v>
      </x:c>
      <x:c r="D148" s="34" t="n">
        <x:v>120</x:v>
      </x:c>
      <x:c r="E148" s="34" t="n">
        <x:v>125</x:v>
      </x:c>
      <x:c r="F148" s="34" t="n">
        <x:v>96</x:v>
      </x:c>
      <x:c r="G148" s="34" t="n">
        <x:v>18</x:v>
      </x:c>
      <x:c r="H148" s="34" t="n">
        <x:v>4.5</x:v>
      </x:c>
      <x:c r="I148" s="34" t="n">
        <x:v>4.5</x:v>
      </x:c>
      <x:c r="J148" s="34" t="n">
        <x:v>18</x:v>
      </x:c>
      <x:c r="K148" s="36" t="n">
        <x:v>75</x:v>
      </x:c>
      <x:c r="L148" s="22" t="str">
        <x:v>水性杨花</x:v>
      </x:c>
      <x:c r="M148" s="36" t="n">
        <x:v>1</x:v>
      </x:c>
      <x:c r="N148" s="22" t="str">
        <x:v>名称一致</x:v>
      </x:c>
    </x:row>
    <x:row r="149">
      <x:c r="A149" s="22" t="str">
        <x:v>素菜</x:v>
      </x:c>
      <x:c r="B149" s="22" t="str">
        <x:v>云南姜柄瓜</x:v>
      </x:c>
      <x:c r="C149" s="22" t="str">
        <x:v>姜柄瓜</x:v>
      </x:c>
      <x:c r="D149" s="34" t="n">
        <x:v>185</x:v>
      </x:c>
      <x:c r="E149" s="34" t="n">
        <x:v>190</x:v>
      </x:c>
      <x:c r="F149" s="34" t="n">
        <x:v>97.36842105263159</x:v>
      </x:c>
      <x:c r="G149" s="34" t="n">
        <x:v>7.5</x:v>
      </x:c>
      <x:c r="H149" s="34" t="n">
        <x:v>2.9</x:v>
      </x:c>
      <x:c r="I149" s="34" t="n">
        <x:v>3</x:v>
      </x:c>
      <x:c r="J149" s="34" t="n">
        <x:v>12</x:v>
      </x:c>
      <x:c r="K149" s="36" t="n">
        <x:v>75</x:v>
      </x:c>
      <x:c r="L149" s="22" t="str">
        <x:v>姜柄瓜</x:v>
      </x:c>
      <x:c r="M149" s="36" t="n">
        <x:v>1</x:v>
      </x:c>
      <x:c r="N149" s="22" t="str">
        <x:v>名称一致</x:v>
      </x:c>
    </x:row>
    <x:row r="150">
      <x:c r="A150" s="22" t="str">
        <x:v>素菜</x:v>
      </x:c>
      <x:c r="B150" s="22" t="str">
        <x:v>云南姜柄瓜</x:v>
      </x:c>
      <x:c r="C150" s="22" t="str">
        <x:v>花草</x:v>
      </x:c>
      <x:c r="D150" s="34"/>
      <x:c r="E150" s="34"/>
      <x:c r="F150" s="34"/>
      <x:c r="G150" s="34" t="n">
        <x:v>10</x:v>
      </x:c>
      <x:c r="H150" s="34" t="n">
        <x:v>0.1</x:v>
      </x:c>
      <x:c r="I150" s="34"/>
      <x:c r="J150" s="34"/>
      <x:c r="K150" s="36"/>
      <x:c r="L150" s="22" t="str">
        <x:v>黑鱼花</x:v>
      </x:c>
      <x:c r="M150" s="36" t="n">
        <x:v>0.4</x:v>
      </x:c>
      <x:c r="N150" s="22" t="str">
        <x:v>未匹配</x:v>
      </x:c>
    </x:row>
    <x:row r="151">
      <x:c r="A151" s="22" t="str">
        <x:v>素菜</x:v>
      </x:c>
      <x:c r="B151" s="22" t="str">
        <x:v>丽江七彩洋芋</x:v>
      </x:c>
      <x:c r="C151" s="22" t="str">
        <x:v>七彩土地</x:v>
      </x:c>
      <x:c r="D151" s="34" t="n">
        <x:v>180</x:v>
      </x:c>
      <x:c r="E151" s="34" t="n">
        <x:v>220</x:v>
      </x:c>
      <x:c r="F151" s="34" t="n">
        <x:v>81.81818181818181</x:v>
      </x:c>
      <x:c r="G151" s="34" t="n">
        <x:v>6</x:v>
      </x:c>
      <x:c r="H151" s="34" t="n">
        <x:v>2.65</x:v>
      </x:c>
      <x:c r="I151" s="34" t="n">
        <x:v>2.81</x:v>
      </x:c>
      <x:c r="J151" s="34" t="n">
        <x:v>16</x:v>
      </x:c>
      <x:c r="K151" s="36" t="n">
        <x:v>82.4375</x:v>
      </x:c>
      <x:c r="L151" s="22" t="str">
        <x:v>保乐肩（大地飞雪）</x:v>
      </x:c>
      <x:c r="M151" s="36" t="n">
        <x:v>0.1818</x:v>
      </x:c>
      <x:c r="N151" s="22" t="str">
        <x:v>未匹配</x:v>
      </x:c>
    </x:row>
    <x:row r="152">
      <x:c r="A152" s="22" t="str">
        <x:v>素菜</x:v>
      </x:c>
      <x:c r="B152" s="22" t="str">
        <x:v>丽江七彩洋芋</x:v>
      </x:c>
      <x:c r="C152" s="22" t="str">
        <x:v>花草</x:v>
      </x:c>
      <x:c r="D152" s="34"/>
      <x:c r="E152" s="34"/>
      <x:c r="F152" s="34"/>
      <x:c r="G152" s="34"/>
      <x:c r="H152" s="34" t="n">
        <x:v>0.16</x:v>
      </x:c>
      <x:c r="I152" s="34"/>
      <x:c r="J152" s="34"/>
      <x:c r="K152" s="36"/>
      <x:c r="L152" s="22" t="str">
        <x:v>黑鱼花</x:v>
      </x:c>
      <x:c r="M152" s="36" t="n">
        <x:v>0.4</x:v>
      </x:c>
      <x:c r="N152" s="22" t="str">
        <x:v>未匹配</x:v>
      </x:c>
    </x:row>
    <x:row r="153">
      <x:c r="A153" s="22" t="str">
        <x:v>素菜</x:v>
      </x:c>
      <x:c r="B153" s="22" t="str">
        <x:v>紫山药</x:v>
      </x:c>
      <x:c r="C153" s="22" t="str">
        <x:v>紫山药</x:v>
      </x:c>
      <x:c r="D153" s="34" t="n">
        <x:v>180</x:v>
      </x:c>
      <x:c r="E153" s="34" t="n">
        <x:v>250</x:v>
      </x:c>
      <x:c r="F153" s="34" t="n">
        <x:v>72</x:v>
      </x:c>
      <x:c r="G153" s="34" t="n">
        <x:v>11</x:v>
      </x:c>
      <x:c r="H153" s="34" t="n">
        <x:v>5.5</x:v>
      </x:c>
      <x:c r="I153" s="34" t="n">
        <x:v>5.5</x:v>
      </x:c>
      <x:c r="J153" s="34" t="n">
        <x:v>18</x:v>
      </x:c>
      <x:c r="K153" s="36" t="n">
        <x:v>69.44444444444444</x:v>
      </x:c>
      <x:c r="L153" s="22" t="str">
        <x:v>紫葱（鲜菌）</x:v>
      </x:c>
      <x:c r="M153" s="36" t="n">
        <x:v>0.2857</x:v>
      </x:c>
      <x:c r="N153" s="22" t="str">
        <x:v>未匹配</x:v>
      </x:c>
    </x:row>
    <x:row r="154">
      <x:c r="A154" s="22" t="str">
        <x:v>素菜</x:v>
      </x:c>
      <x:c r="B154" s="22" t="str">
        <x:v>翡翠贡菜</x:v>
      </x:c>
      <x:c r="C154" s="22" t="str">
        <x:v>贡菜</x:v>
      </x:c>
      <x:c r="D154" s="34" t="n">
        <x:v>60</x:v>
      </x:c>
      <x:c r="E154" s="34" t="n">
        <x:v>60</x:v>
      </x:c>
      <x:c r="F154" s="34" t="n">
        <x:v>100</x:v>
      </x:c>
      <x:c r="G154" s="34" t="n">
        <x:v>55</x:v>
      </x:c>
      <x:c r="H154" s="34" t="n">
        <x:v>6.6</x:v>
      </x:c>
      <x:c r="I154" s="34" t="n">
        <x:v>6.6</x:v>
      </x:c>
      <x:c r="J154" s="34" t="n">
        <x:v>16</x:v>
      </x:c>
      <x:c r="K154" s="36" t="n">
        <x:v>58.75</x:v>
      </x:c>
      <x:c r="L154" s="22" t="str">
        <x:v>特级信威贡菜</x:v>
      </x:c>
      <x:c r="M154" s="36" t="n">
        <x:v>0.8067</x:v>
      </x:c>
      <x:c r="N154" s="22" t="str">
        <x:v>可能匹配待确认</x:v>
      </x:c>
    </x:row>
    <x:row r="155">
      <x:c r="A155" s="22" t="str">
        <x:v>素菜</x:v>
      </x:c>
      <x:c r="B155" s="22" t="str">
        <x:v>紫白菜</x:v>
      </x:c>
      <x:c r="C155" s="22" t="str">
        <x:v>紫白菜</x:v>
      </x:c>
      <x:c r="D155" s="34" t="n">
        <x:v>120</x:v>
      </x:c>
      <x:c r="E155" s="34" t="n">
        <x:v>130</x:v>
      </x:c>
      <x:c r="F155" s="34" t="n">
        <x:v>92.3076923076923</x:v>
      </x:c>
      <x:c r="G155" s="34" t="n">
        <x:v>15</x:v>
      </x:c>
      <x:c r="H155" s="34" t="n">
        <x:v>3.9</x:v>
      </x:c>
      <x:c r="I155" s="34" t="n">
        <x:v>4.1</x:v>
      </x:c>
      <x:c r="J155" s="34" t="n">
        <x:v>15</x:v>
      </x:c>
      <x:c r="K155" s="36" t="n">
        <x:v>72.66666666666667</x:v>
      </x:c>
      <x:c r="L155" s="22" t="str">
        <x:v>白熊</x:v>
      </x:c>
      <x:c r="M155" s="36" t="n">
        <x:v>0.4</x:v>
      </x:c>
      <x:c r="N155" s="22" t="str">
        <x:v>未匹配</x:v>
      </x:c>
    </x:row>
    <x:row r="156">
      <x:c r="A156" s="22" t="str">
        <x:v>素菜</x:v>
      </x:c>
      <x:c r="B156" s="22" t="str">
        <x:v>七彩云南蔬菜拼盘</x:v>
      </x:c>
      <x:c r="C156" s="22" t="str">
        <x:v>水性杨花</x:v>
      </x:c>
      <x:c r="D156" s="34" t="n">
        <x:v>100</x:v>
      </x:c>
      <x:c r="E156" s="34" t="n">
        <x:v>103</x:v>
      </x:c>
      <x:c r="F156" s="34" t="n">
        <x:v>97.08737864077669</x:v>
      </x:c>
      <x:c r="G156" s="34" t="n">
        <x:v>18</x:v>
      </x:c>
      <x:c r="H156" s="34" t="n">
        <x:v>3.7</x:v>
      </x:c>
      <x:c r="I156" s="34" t="n">
        <x:v>9.87</x:v>
      </x:c>
      <x:c r="J156" s="34" t="n">
        <x:v>32</x:v>
      </x:c>
      <x:c r="K156" s="36" t="n">
        <x:v>69.15625</x:v>
      </x:c>
      <x:c r="L156" s="22" t="str">
        <x:v>水性杨花</x:v>
      </x:c>
      <x:c r="M156" s="36" t="n">
        <x:v>1</x:v>
      </x:c>
      <x:c r="N156" s="22" t="str">
        <x:v>名称一致</x:v>
      </x:c>
    </x:row>
    <x:row r="157">
      <x:c r="A157" s="22" t="str">
        <x:v>素菜</x:v>
      </x:c>
      <x:c r="B157" s="22" t="str">
        <x:v>七彩云南蔬菜拼盘</x:v>
      </x:c>
      <x:c r="C157" s="22" t="str">
        <x:v>七彩土豆</x:v>
      </x:c>
      <x:c r="D157" s="34" t="n">
        <x:v>100</x:v>
      </x:c>
      <x:c r="E157" s="34" t="n">
        <x:v>122</x:v>
      </x:c>
      <x:c r="F157" s="34" t="n">
        <x:v>81.9672131147541</x:v>
      </x:c>
      <x:c r="G157" s="34" t="n">
        <x:v>6</x:v>
      </x:c>
      <x:c r="H157" s="34" t="n">
        <x:v>1.47</x:v>
      </x:c>
      <x:c r="I157" s="34"/>
      <x:c r="J157" s="34"/>
      <x:c r="K157" s="36"/>
      <x:c r="L157" s="22" t="str">
        <x:v>黑豆花</x:v>
      </x:c>
      <x:c r="M157" s="36" t="n">
        <x:v>0.2857</x:v>
      </x:c>
      <x:c r="N157" s="22" t="str">
        <x:v>未匹配</x:v>
      </x:c>
    </x:row>
    <x:row r="158">
      <x:c r="A158" s="22" t="str">
        <x:v>素菜</x:v>
      </x:c>
      <x:c r="B158" s="22" t="str">
        <x:v>七彩云南蔬菜拼盘</x:v>
      </x:c>
      <x:c r="C158" s="22" t="str">
        <x:v>姜柄瓜</x:v>
      </x:c>
      <x:c r="D158" s="34" t="n">
        <x:v>100</x:v>
      </x:c>
      <x:c r="E158" s="34" t="n">
        <x:v>103</x:v>
      </x:c>
      <x:c r="F158" s="34" t="n">
        <x:v>97.08737864077669</x:v>
      </x:c>
      <x:c r="G158" s="34" t="n">
        <x:v>7.5</x:v>
      </x:c>
      <x:c r="H158" s="34" t="n">
        <x:v>1.6</x:v>
      </x:c>
      <x:c r="I158" s="34"/>
      <x:c r="J158" s="34"/>
      <x:c r="K158" s="36"/>
      <x:c r="L158" s="22" t="str">
        <x:v>姜柄瓜</x:v>
      </x:c>
      <x:c r="M158" s="36" t="n">
        <x:v>1</x:v>
      </x:c>
      <x:c r="N158" s="22" t="str">
        <x:v>名称一致</x:v>
      </x:c>
    </x:row>
    <x:row r="159">
      <x:c r="A159" s="22" t="str">
        <x:v>素菜</x:v>
      </x:c>
      <x:c r="B159" s="22" t="str">
        <x:v>七彩云南蔬菜拼盘</x:v>
      </x:c>
      <x:c r="C159" s="22" t="str">
        <x:v>紫山药</x:v>
      </x:c>
      <x:c r="D159" s="34" t="n">
        <x:v>100</x:v>
      </x:c>
      <x:c r="E159" s="34" t="n">
        <x:v>139</x:v>
      </x:c>
      <x:c r="F159" s="34" t="n">
        <x:v>71.94244604316548</x:v>
      </x:c>
      <x:c r="G159" s="34" t="n">
        <x:v>11</x:v>
      </x:c>
      <x:c r="H159" s="34" t="n">
        <x:v>3.1</x:v>
      </x:c>
      <x:c r="I159" s="34"/>
      <x:c r="J159" s="34"/>
      <x:c r="K159" s="36"/>
      <x:c r="L159" s="22" t="str">
        <x:v>紫葱（鲜菌）</x:v>
      </x:c>
      <x:c r="M159" s="36" t="n">
        <x:v>0.2857</x:v>
      </x:c>
      <x:c r="N159" s="22" t="str">
        <x:v>未匹配</x:v>
      </x:c>
    </x:row>
    <x:row r="160">
      <x:c r="A160" s="22" t="str">
        <x:v>素菜</x:v>
      </x:c>
      <x:c r="B160" s="22" t="str">
        <x:v>山野鲜蔬</x:v>
      </x:c>
      <x:c r="C160" s="22" t="str">
        <x:v>紫白菜</x:v>
      </x:c>
      <x:c r="D160" s="34" t="n">
        <x:v>80</x:v>
      </x:c>
      <x:c r="E160" s="34" t="n">
        <x:v>87</x:v>
      </x:c>
      <x:c r="F160" s="34" t="n">
        <x:v>91.95402298850574</x:v>
      </x:c>
      <x:c r="G160" s="34" t="n">
        <x:v>15</x:v>
      </x:c>
      <x:c r="H160" s="34" t="n">
        <x:v>2.61</x:v>
      </x:c>
      <x:c r="I160" s="34" t="n">
        <x:v>5.56</x:v>
      </x:c>
      <x:c r="J160" s="34" t="n">
        <x:v>26</x:v>
      </x:c>
      <x:c r="K160" s="36" t="n">
        <x:v>78.61538461538461</x:v>
      </x:c>
      <x:c r="L160" s="22" t="str">
        <x:v>白熊</x:v>
      </x:c>
      <x:c r="M160" s="36" t="n">
        <x:v>0.4</x:v>
      </x:c>
      <x:c r="N160" s="22" t="str">
        <x:v>未匹配</x:v>
      </x:c>
    </x:row>
    <x:row r="161">
      <x:c r="A161" s="22" t="str">
        <x:v>素菜</x:v>
      </x:c>
      <x:c r="B161" s="22" t="str">
        <x:v>山野鲜蔬</x:v>
      </x:c>
      <x:c r="C161" s="22" t="str">
        <x:v>豌豆尖</x:v>
      </x:c>
      <x:c r="D161" s="34" t="n">
        <x:v>50</x:v>
      </x:c>
      <x:c r="E161" s="34" t="n">
        <x:v>62.5</x:v>
      </x:c>
      <x:c r="F161" s="34" t="n">
        <x:v>80</x:v>
      </x:c>
      <x:c r="G161" s="34" t="n">
        <x:v>7</x:v>
      </x:c>
      <x:c r="H161" s="34" t="n">
        <x:v>0.9</x:v>
      </x:c>
      <x:c r="I161" s="34"/>
      <x:c r="J161" s="34"/>
      <x:c r="K161" s="36"/>
      <x:c r="L161" s="22" t="str">
        <x:v>黑豆花</x:v>
      </x:c>
      <x:c r="M161" s="36" t="n">
        <x:v>0.3333</x:v>
      </x:c>
      <x:c r="N161" s="22" t="str">
        <x:v>未匹配</x:v>
      </x:c>
    </x:row>
    <x:row r="162">
      <x:c r="A162" s="22" t="str">
        <x:v>素菜</x:v>
      </x:c>
      <x:c r="B162" s="22" t="str">
        <x:v>山野鲜蔬</x:v>
      </x:c>
      <x:c r="C162" s="22" t="str">
        <x:v>血皮菜</x:v>
      </x:c>
      <x:c r="D162" s="34" t="n">
        <x:v>80</x:v>
      </x:c>
      <x:c r="E162" s="34" t="n">
        <x:v>88.88</x:v>
      </x:c>
      <x:c r="F162" s="34" t="n">
        <x:v>90.00900090009002</x:v>
      </x:c>
      <x:c r="G162" s="34" t="n">
        <x:v>15</x:v>
      </x:c>
      <x:c r="H162" s="34" t="str">
        <x:v>2,67</x:v>
      </x:c>
      <x:c r="I162" s="34"/>
      <x:c r="J162" s="34"/>
      <x:c r="K162" s="36"/>
      <x:c r="L162" s="22" t="str">
        <x:v>黄粉皮</x:v>
      </x:c>
      <x:c r="M162" s="36" t="n">
        <x:v>0.3333</x:v>
      </x:c>
      <x:c r="N162" s="22" t="str">
        <x:v>未匹配</x:v>
      </x:c>
    </x:row>
    <x:row r="163">
      <x:c r="A163" s="22" t="str">
        <x:v>素菜</x:v>
      </x:c>
      <x:c r="B163" s="22" t="str">
        <x:v>山野鲜蔬</x:v>
      </x:c>
      <x:c r="C163" s="22" t="str">
        <x:v>娃娃菜</x:v>
      </x:c>
      <x:c r="D163" s="34" t="n">
        <x:v>80</x:v>
      </x:c>
      <x:c r="E163" s="34" t="n">
        <x:v>87</x:v>
      </x:c>
      <x:c r="F163" s="34" t="n">
        <x:v>91.95402298850574</x:v>
      </x:c>
      <x:c r="G163" s="34" t="n">
        <x:v>6</x:v>
      </x:c>
      <x:c r="H163" s="34" t="n">
        <x:v>1.05</x:v>
      </x:c>
      <x:c r="I163" s="34"/>
      <x:c r="J163" s="34"/>
      <x:c r="K163" s="36"/>
      <x:c r="L163" s="22" t="str">
        <x:v>野菜糍粑</x:v>
      </x:c>
      <x:c r="M163" s="36" t="n">
        <x:v>0.2857</x:v>
      </x:c>
      <x:c r="N163" s="22" t="str">
        <x:v>未匹配</x:v>
      </x:c>
    </x:row>
    <x:row r="164">
      <x:c r="A164" s="22" t="str">
        <x:v>素菜</x:v>
      </x:c>
      <x:c r="B164" s="22" t="str">
        <x:v>山野鲜蔬</x:v>
      </x:c>
      <x:c r="C164" s="22" t="str">
        <x:v>豆芽</x:v>
      </x:c>
      <x:c r="D164" s="34"/>
      <x:c r="E164" s="34"/>
      <x:c r="F164" s="34"/>
      <x:c r="G164" s="34"/>
      <x:c r="H164" s="34" t="n">
        <x:v>1</x:v>
      </x:c>
      <x:c r="I164" s="34"/>
      <x:c r="J164" s="34"/>
      <x:c r="K164" s="36"/>
      <x:c r="L164" s="22" t="str">
        <x:v>黑豆花</x:v>
      </x:c>
      <x:c r="M164" s="36" t="n">
        <x:v>0.4</x:v>
      </x:c>
      <x:c r="N164" s="22" t="str">
        <x:v>未匹配</x:v>
      </x:c>
    </x:row>
    <x:row r="165">
      <x:c r="A165" s="22" t="str">
        <x:v>蘑菇</x:v>
      </x:c>
      <x:c r="B165" s="22" t="str">
        <x:v>猪肚菌</x:v>
      </x:c>
      <x:c r="C165" s="22" t="str">
        <x:v>猪肚菌</x:v>
      </x:c>
      <x:c r="D165" s="34" t="n">
        <x:v>100</x:v>
      </x:c>
      <x:c r="E165" s="34" t="n">
        <x:v>105</x:v>
      </x:c>
      <x:c r="F165" s="34" t="n">
        <x:v>95.23809523809524</x:v>
      </x:c>
      <x:c r="G165" s="34" t="n">
        <x:v>24</x:v>
      </x:c>
      <x:c r="H165" s="34" t="n">
        <x:v>5</x:v>
      </x:c>
      <x:c r="I165" s="34" t="n">
        <x:v>5</x:v>
      </x:c>
      <x:c r="J165" s="34" t="n">
        <x:v>14.9</x:v>
      </x:c>
      <x:c r="K165" s="36" t="n">
        <x:v>66.44295302013424</x:v>
      </x:c>
      <x:c r="L165" s="22" t="str">
        <x:v>猪肚菌</x:v>
      </x:c>
      <x:c r="M165" s="36" t="n">
        <x:v>1</x:v>
      </x:c>
      <x:c r="N165" s="22" t="str">
        <x:v>名称一致</x:v>
      </x:c>
    </x:row>
    <x:row r="166">
      <x:c r="A166" s="22" t="str">
        <x:v>蘑菇</x:v>
      </x:c>
      <x:c r="B166" s="22" t="str">
        <x:v>绣球菌</x:v>
      </x:c>
      <x:c r="C166" s="22" t="str">
        <x:v>绣球菌</x:v>
      </x:c>
      <x:c r="D166" s="34" t="n">
        <x:v>100</x:v>
      </x:c>
      <x:c r="E166" s="34" t="n">
        <x:v>103</x:v>
      </x:c>
      <x:c r="F166" s="34" t="n">
        <x:v>97.08737864077669</x:v>
      </x:c>
      <x:c r="G166" s="34" t="n">
        <x:v>20.5</x:v>
      </x:c>
      <x:c r="H166" s="34" t="n">
        <x:v>4.1</x:v>
      </x:c>
      <x:c r="I166" s="34" t="n">
        <x:v>4.1</x:v>
      </x:c>
      <x:c r="J166" s="34" t="n">
        <x:v>14.9</x:v>
      </x:c>
      <x:c r="K166" s="36" t="n">
        <x:v>72.48322147651008</x:v>
      </x:c>
      <x:c r="L166" s="22" t="str">
        <x:v>绣球菌</x:v>
      </x:c>
      <x:c r="M166" s="36" t="n">
        <x:v>1</x:v>
      </x:c>
      <x:c r="N166" s="22" t="str">
        <x:v>名称一致</x:v>
      </x:c>
    </x:row>
    <x:row r="167">
      <x:c r="A167" s="22" t="str">
        <x:v>蘑菇</x:v>
      </x:c>
      <x:c r="B167" s="22" t="str">
        <x:v>黑牛肝菌</x:v>
      </x:c>
      <x:c r="C167" s="22" t="str">
        <x:v>黑牛肝菌</x:v>
      </x:c>
      <x:c r="D167" s="34" t="n">
        <x:v>80</x:v>
      </x:c>
      <x:c r="E167" s="34" t="n">
        <x:v>85</x:v>
      </x:c>
      <x:c r="F167" s="34" t="n">
        <x:v>94.11764705882354</x:v>
      </x:c>
      <x:c r="G167" s="34" t="n">
        <x:v>39.5</x:v>
      </x:c>
      <x:c r="H167" s="34" t="n">
        <x:v>6.72</x:v>
      </x:c>
      <x:c r="I167" s="34" t="n">
        <x:v>6.72</x:v>
      </x:c>
      <x:c r="J167" s="34" t="n">
        <x:v>19.9</x:v>
      </x:c>
      <x:c r="K167" s="36" t="n">
        <x:v>66.23115577889448</x:v>
      </x:c>
      <x:c r="L167" s="22" t="str">
        <x:v>黑牛肝菌</x:v>
      </x:c>
      <x:c r="M167" s="36" t="n">
        <x:v>1</x:v>
      </x:c>
      <x:c r="N167" s="22" t="str">
        <x:v>名称一致</x:v>
      </x:c>
    </x:row>
    <x:row r="168">
      <x:c r="A168" s="22" t="str">
        <x:v>蘑菇</x:v>
      </x:c>
      <x:c r="B168" s="22" t="str">
        <x:v>赤松茸</x:v>
      </x:c>
      <x:c r="C168" s="22" t="str">
        <x:v>赤松茸</x:v>
      </x:c>
      <x:c r="D168" s="34" t="n">
        <x:v>100</x:v>
      </x:c>
      <x:c r="E168" s="34" t="n">
        <x:v>110</x:v>
      </x:c>
      <x:c r="F168" s="34" t="n">
        <x:v>90.9090909090909</x:v>
      </x:c>
      <x:c r="G168" s="34" t="n">
        <x:v>24.45</x:v>
      </x:c>
      <x:c r="H168" s="34" t="n">
        <x:v>5.4</x:v>
      </x:c>
      <x:c r="I168" s="34" t="n">
        <x:v>5.4</x:v>
      </x:c>
      <x:c r="J168" s="34" t="n">
        <x:v>19.9</x:v>
      </x:c>
      <x:c r="K168" s="36" t="n">
        <x:v>72.8643216080402</x:v>
      </x:c>
      <x:c r="L168" s="22" t="str">
        <x:v>赤松茸</x:v>
      </x:c>
      <x:c r="M168" s="36" t="n">
        <x:v>1</x:v>
      </x:c>
      <x:c r="N168" s="22" t="str">
        <x:v>名称一致</x:v>
      </x:c>
    </x:row>
    <x:row r="169">
      <x:c r="A169" s="22" t="str">
        <x:v>蘑菇</x:v>
      </x:c>
      <x:c r="B169" s="22" t="str">
        <x:v>黑皮鸡纵</x:v>
      </x:c>
      <x:c r="C169" s="22" t="str">
        <x:v>黑皮鸡纵</x:v>
      </x:c>
      <x:c r="D169" s="34" t="n">
        <x:v>100</x:v>
      </x:c>
      <x:c r="E169" s="34" t="n">
        <x:v>102</x:v>
      </x:c>
      <x:c r="F169" s="34" t="n">
        <x:v>98.0392156862745</x:v>
      </x:c>
      <x:c r="G169" s="34" t="n">
        <x:v>28</x:v>
      </x:c>
      <x:c r="H169" s="34" t="n">
        <x:v>5.6</x:v>
      </x:c>
      <x:c r="I169" s="34" t="n">
        <x:v>5.6</x:v>
      </x:c>
      <x:c r="J169" s="34" t="n">
        <x:v>19.9</x:v>
      </x:c>
      <x:c r="K169" s="36" t="n">
        <x:v>71.85929648241206</x:v>
      </x:c>
      <x:c r="L169" s="22" t="str">
        <x:v>黑皮鸡枞菌</x:v>
      </x:c>
      <x:c r="M169" s="36" t="n">
        <x:v>0.9</x:v>
      </x:c>
      <x:c r="N169" s="22" t="str">
        <x:v>高相似待确认</x:v>
      </x:c>
    </x:row>
    <x:row r="170">
      <x:c r="A170" s="22" t="str">
        <x:v>蘑菇</x:v>
      </x:c>
      <x:c r="B170" s="22" t="str">
        <x:v>魔幻见手青</x:v>
      </x:c>
      <x:c r="C170" s="22" t="str">
        <x:v>见手青</x:v>
      </x:c>
      <x:c r="D170" s="34" t="n">
        <x:v>100</x:v>
      </x:c>
      <x:c r="E170" s="34" t="n">
        <x:v>105</x:v>
      </x:c>
      <x:c r="F170" s="34" t="n">
        <x:v>95.23809523809524</x:v>
      </x:c>
      <x:c r="G170" s="34" t="n">
        <x:v>55</x:v>
      </x:c>
      <x:c r="H170" s="34" t="n">
        <x:v>11.55</x:v>
      </x:c>
      <x:c r="I170" s="34" t="n">
        <x:v>11.75</x:v>
      </x:c>
      <x:c r="J170" s="34" t="n">
        <x:v>68</x:v>
      </x:c>
      <x:c r="K170" s="36" t="n">
        <x:v>82.72058823529412</x:v>
      </x:c>
      <x:c r="L170" s="22" t="str">
        <x:v>见手青啤酒</x:v>
      </x:c>
      <x:c r="M170" s="36" t="n">
        <x:v>0.86</x:v>
      </x:c>
      <x:c r="N170" s="22" t="str">
        <x:v>高相似待确认</x:v>
      </x:c>
    </x:row>
    <x:row r="171">
      <x:c r="A171" s="22" t="str">
        <x:v>蘑菇</x:v>
      </x:c>
      <x:c r="B171" s="22" t="str">
        <x:v>魔幻见手青</x:v>
      </x:c>
      <x:c r="C171" s="22" t="str">
        <x:v>花草</x:v>
      </x:c>
      <x:c r="D171" s="34"/>
      <x:c r="E171" s="34"/>
      <x:c r="F171" s="34"/>
      <x:c r="G171" s="34"/>
      <x:c r="H171" s="34" t="n">
        <x:v>0.2</x:v>
      </x:c>
      <x:c r="I171" s="34"/>
      <x:c r="J171" s="34"/>
      <x:c r="K171" s="36"/>
      <x:c r="L171" s="22" t="str">
        <x:v>黑鱼花</x:v>
      </x:c>
      <x:c r="M171" s="36" t="n">
        <x:v>0.4</x:v>
      </x:c>
      <x:c r="N171" s="22" t="str">
        <x:v>未匹配</x:v>
      </x:c>
    </x:row>
    <x:row r="172">
      <x:c r="A172" s="22" t="str">
        <x:v>蘑菇</x:v>
      </x:c>
      <x:c r="B172" s="22" t="str">
        <x:v>鹿茸菇</x:v>
      </x:c>
      <x:c r="C172" s="22" t="str">
        <x:v>鹿茸菇</x:v>
      </x:c>
      <x:c r="D172" s="34" t="n">
        <x:v>80</x:v>
      </x:c>
      <x:c r="E172" s="34" t="n">
        <x:v>81</x:v>
      </x:c>
      <x:c r="F172" s="34" t="n">
        <x:v>98.76543209876543</x:v>
      </x:c>
      <x:c r="G172" s="34" t="n">
        <x:v>7.4</x:v>
      </x:c>
      <x:c r="H172" s="34" t="n">
        <x:v>1.2</x:v>
      </x:c>
      <x:c r="I172" s="34" t="n">
        <x:v>1.2</x:v>
      </x:c>
      <x:c r="J172" s="34" t="n">
        <x:v>14.9</x:v>
      </x:c>
      <x:c r="K172" s="36" t="n">
        <x:v>91.94630872483222</x:v>
      </x:c>
      <x:c r="L172" s="22" t="str">
        <x:v>鹿茸菇</x:v>
      </x:c>
      <x:c r="M172" s="36" t="n">
        <x:v>1</x:v>
      </x:c>
      <x:c r="N172" s="22" t="str">
        <x:v>名称一致</x:v>
      </x:c>
    </x:row>
    <x:row r="173">
      <x:c r="A173" s="22" t="str">
        <x:v>蘑菇</x:v>
      </x:c>
      <x:c r="B173" s="22" t="str">
        <x:v>金耳</x:v>
      </x:c>
      <x:c r="C173" s="22" t="str">
        <x:v>金耳</x:v>
      </x:c>
      <x:c r="D173" s="34" t="n">
        <x:v>100</x:v>
      </x:c>
      <x:c r="E173" s="34" t="n">
        <x:v>102</x:v>
      </x:c>
      <x:c r="F173" s="34" t="n">
        <x:v>98.0392156862745</x:v>
      </x:c>
      <x:c r="G173" s="34" t="n">
        <x:v>15</x:v>
      </x:c>
      <x:c r="H173" s="34" t="n">
        <x:v>3</x:v>
      </x:c>
      <x:c r="I173" s="34" t="n">
        <x:v>3.2</x:v>
      </x:c>
      <x:c r="J173" s="34" t="n">
        <x:v>29.9</x:v>
      </x:c>
      <x:c r="K173" s="36" t="n">
        <x:v>89.29765886287626</x:v>
      </x:c>
      <x:c r="L173" s="22" t="str">
        <x:v>金耳菌</x:v>
      </x:c>
      <x:c r="M173" s="36" t="n">
        <x:v>0.8733</x:v>
      </x:c>
      <x:c r="N173" s="22" t="str">
        <x:v>高相似待确认</x:v>
      </x:c>
    </x:row>
    <x:row r="174">
      <x:c r="A174" s="22" t="str">
        <x:v>蘑菇</x:v>
      </x:c>
      <x:c r="B174" s="22" t="str">
        <x:v>金耳</x:v>
      </x:c>
      <x:c r="C174" s="22" t="str">
        <x:v>花草</x:v>
      </x:c>
      <x:c r="D174" s="34"/>
      <x:c r="E174" s="34"/>
      <x:c r="F174" s="34"/>
      <x:c r="G174" s="34"/>
      <x:c r="H174" s="34" t="n">
        <x:v>0.2</x:v>
      </x:c>
      <x:c r="I174" s="34"/>
      <x:c r="J174" s="34"/>
      <x:c r="K174" s="36"/>
      <x:c r="L174" s="22" t="str">
        <x:v>黑鱼花</x:v>
      </x:c>
      <x:c r="M174" s="36" t="n">
        <x:v>0.4</x:v>
      </x:c>
      <x:c r="N174" s="22" t="str">
        <x:v>未匹配</x:v>
      </x:c>
    </x:row>
    <x:row r="175">
      <x:c r="A175" s="22" t="str">
        <x:v>蘑菇</x:v>
      </x:c>
      <x:c r="B175" s="22" t="str">
        <x:v>榆黄蘑</x:v>
      </x:c>
      <x:c r="C175" s="22" t="str">
        <x:v>榆黄蘑</x:v>
      </x:c>
      <x:c r="D175" s="34" t="n">
        <x:v>100</x:v>
      </x:c>
      <x:c r="E175" s="34" t="n">
        <x:v>105</x:v>
      </x:c>
      <x:c r="F175" s="34" t="n">
        <x:v>95.23809523809524</x:v>
      </x:c>
      <x:c r="G175" s="34" t="n">
        <x:v>19</x:v>
      </x:c>
      <x:c r="H175" s="34" t="n">
        <x:v>4.1</x:v>
      </x:c>
      <x:c r="I175" s="34" t="n">
        <x:v>4.3</x:v>
      </x:c>
      <x:c r="J175" s="34" t="n">
        <x:v>14.9</x:v>
      </x:c>
      <x:c r="K175" s="36" t="n">
        <x:v>71.14093959731545</x:v>
      </x:c>
      <x:c r="L175" s="22" t="str">
        <x:v>榆黄蘑</x:v>
      </x:c>
      <x:c r="M175" s="36" t="n">
        <x:v>1</x:v>
      </x:c>
      <x:c r="N175" s="22" t="str">
        <x:v>名称一致</x:v>
      </x:c>
    </x:row>
    <x:row r="176">
      <x:c r="A176" s="22" t="str">
        <x:v>蘑菇</x:v>
      </x:c>
      <x:c r="B176" s="22" t="str">
        <x:v>榆黄蘑</x:v>
      </x:c>
      <x:c r="C176" s="22" t="str">
        <x:v>花草</x:v>
      </x:c>
      <x:c r="D176" s="34"/>
      <x:c r="E176" s="34"/>
      <x:c r="F176" s="34"/>
      <x:c r="G176" s="34"/>
      <x:c r="H176" s="34" t="n">
        <x:v>0.2</x:v>
      </x:c>
      <x:c r="I176" s="34"/>
      <x:c r="J176" s="34"/>
      <x:c r="K176" s="36"/>
      <x:c r="L176" s="22" t="str">
        <x:v>黑鱼花</x:v>
      </x:c>
      <x:c r="M176" s="36" t="n">
        <x:v>0.4</x:v>
      </x:c>
      <x:c r="N176" s="22" t="str">
        <x:v>未匹配</x:v>
      </x:c>
    </x:row>
    <x:row r="177">
      <x:c r="A177" s="22" t="str">
        <x:v>蘑菇</x:v>
      </x:c>
      <x:c r="B177" s="22" t="str">
        <x:v>竹荪</x:v>
      </x:c>
      <x:c r="C177" s="22" t="str">
        <x:v>竹荪</x:v>
      </x:c>
      <x:c r="D177" s="34" t="n">
        <x:v>50</x:v>
      </x:c>
      <x:c r="E177" s="34" t="n">
        <x:v>51</x:v>
      </x:c>
      <x:c r="F177" s="34" t="n">
        <x:v>98.0392156862745</x:v>
      </x:c>
      <x:c r="G177" s="34" t="n">
        <x:v>115</x:v>
      </x:c>
      <x:c r="H177" s="34" t="n">
        <x:v>11.73</x:v>
      </x:c>
      <x:c r="I177" s="34" t="n">
        <x:v>11.93</x:v>
      </x:c>
      <x:c r="J177" s="34" t="n">
        <x:v>29.9</x:v>
      </x:c>
      <x:c r="K177" s="36" t="n">
        <x:v>60.10033444816053</x:v>
      </x:c>
      <x:c r="L177" s="22" t="str">
        <x:v>竹荪</x:v>
      </x:c>
      <x:c r="M177" s="36" t="n">
        <x:v>1</x:v>
      </x:c>
      <x:c r="N177" s="22" t="str">
        <x:v>名称一致</x:v>
      </x:c>
    </x:row>
    <x:row r="178">
      <x:c r="A178" s="22" t="str">
        <x:v>蘑菇</x:v>
      </x:c>
      <x:c r="B178" s="22" t="str">
        <x:v>香蕈</x:v>
      </x:c>
      <x:c r="C178" s="22" t="str">
        <x:v>香蕈</x:v>
      </x:c>
      <x:c r="D178" s="34" t="n">
        <x:v>80</x:v>
      </x:c>
      <x:c r="E178" s="34" t="n">
        <x:v>85</x:v>
      </x:c>
      <x:c r="F178" s="34" t="n">
        <x:v>94.11764705882354</x:v>
      </x:c>
      <x:c r="G178" s="34" t="n">
        <x:v>37.5</x:v>
      </x:c>
      <x:c r="H178" s="34" t="n">
        <x:v>6.4</x:v>
      </x:c>
      <x:c r="I178" s="34" t="n">
        <x:v>6.4</x:v>
      </x:c>
      <x:c r="J178" s="34" t="n">
        <x:v>29.9</x:v>
      </x:c>
      <x:c r="K178" s="36" t="n">
        <x:v>78.59531772575251</x:v>
      </x:c>
      <x:c r="L178" s="22" t="str">
        <x:v>香椰乳</x:v>
      </x:c>
      <x:c r="M178" s="36" t="n">
        <x:v>0.4</x:v>
      </x:c>
      <x:c r="N178" s="22" t="str">
        <x:v>未匹配</x:v>
      </x:c>
    </x:row>
    <x:row r="179">
      <x:c r="A179" s="22" t="str">
        <x:v>蘑菇</x:v>
      </x:c>
      <x:c r="B179" s="22" t="str">
        <x:v>舞茸菌</x:v>
      </x:c>
      <x:c r="C179" s="22" t="str">
        <x:v>舞茸菌</x:v>
      </x:c>
      <x:c r="D179" s="34" t="n">
        <x:v>100</x:v>
      </x:c>
      <x:c r="E179" s="34" t="n">
        <x:v>100</x:v>
      </x:c>
      <x:c r="F179" s="34" t="n">
        <x:v>100</x:v>
      </x:c>
      <x:c r="G179" s="34" t="n">
        <x:v>28.7</x:v>
      </x:c>
      <x:c r="H179" s="34" t="n">
        <x:v>5.75</x:v>
      </x:c>
      <x:c r="I179" s="34" t="n">
        <x:v>5.75</x:v>
      </x:c>
      <x:c r="J179" s="34" t="n">
        <x:v>19.9</x:v>
      </x:c>
      <x:c r="K179" s="36" t="n">
        <x:v>71.10552763819095</x:v>
      </x:c>
      <x:c r="L179" s="22" t="str">
        <x:v>舞茸菇</x:v>
      </x:c>
      <x:c r="M179" s="36" t="n">
        <x:v>0.6667</x:v>
      </x:c>
      <x:c r="N179" s="22" t="str">
        <x:v>未匹配</x:v>
      </x:c>
    </x:row>
    <x:row r="180">
      <x:c r="A180" s="22" t="str">
        <x:v>蘑菇</x:v>
      </x:c>
      <x:c r="B180" s="22" t="str">
        <x:v>滑子菇</x:v>
      </x:c>
      <x:c r="C180" s="22" t="str">
        <x:v>滑子菇</x:v>
      </x:c>
      <x:c r="D180" s="34" t="n">
        <x:v>100</x:v>
      </x:c>
      <x:c r="E180" s="34" t="n">
        <x:v>105</x:v>
      </x:c>
      <x:c r="F180" s="34" t="n">
        <x:v>95.23809523809524</x:v>
      </x:c>
      <x:c r="G180" s="34" t="n">
        <x:v>17</x:v>
      </x:c>
      <x:c r="H180" s="34" t="n">
        <x:v>3.57</x:v>
      </x:c>
      <x:c r="I180" s="34" t="n">
        <x:v>3.57</x:v>
      </x:c>
      <x:c r="J180" s="34" t="n">
        <x:v>14.9</x:v>
      </x:c>
      <x:c r="K180" s="36" t="n">
        <x:v>76.04026845637584</x:v>
      </x:c>
      <x:c r="L180" s="22" t="str">
        <x:v>滑子菇</x:v>
      </x:c>
      <x:c r="M180" s="36" t="n">
        <x:v>1</x:v>
      </x:c>
      <x:c r="N180" s="22" t="str">
        <x:v>名称一致</x:v>
      </x:c>
    </x:row>
    <x:row r="181">
      <x:c r="A181" s="22" t="str">
        <x:v>蘑菇</x:v>
      </x:c>
      <x:c r="B181" s="22" t="str">
        <x:v>珊瑚菌</x:v>
      </x:c>
      <x:c r="C181" s="22" t="str">
        <x:v>珊瑚菌</x:v>
      </x:c>
      <x:c r="D181" s="34" t="n">
        <x:v>60</x:v>
      </x:c>
      <x:c r="E181" s="34" t="n">
        <x:v>64</x:v>
      </x:c>
      <x:c r="F181" s="34" t="n">
        <x:v>93.75</x:v>
      </x:c>
      <x:c r="G181" s="34" t="n">
        <x:v>26.5</x:v>
      </x:c>
      <x:c r="H181" s="34" t="n">
        <x:v>3.4</x:v>
      </x:c>
      <x:c r="I181" s="34" t="n">
        <x:v>3.4</x:v>
      </x:c>
      <x:c r="J181" s="34" t="n">
        <x:v>14.9</x:v>
      </x:c>
      <x:c r="K181" s="36" t="n">
        <x:v>77.18120805369128</x:v>
      </x:c>
      <x:c r="L181" s="22" t="str">
        <x:v>金耳菌</x:v>
      </x:c>
      <x:c r="M181" s="36" t="n">
        <x:v>0.3333</x:v>
      </x:c>
      <x:c r="N181" s="22" t="str">
        <x:v>未匹配</x:v>
      </x:c>
    </x:row>
    <x:row r="182">
      <x:c r="A182" s="22" t="str">
        <x:v>蘑菇</x:v>
      </x:c>
      <x:c r="B182" s="22" t="str">
        <x:v>红乳牛肝菌</x:v>
      </x:c>
      <x:c r="C182" s="22" t="str">
        <x:v>红乳</x:v>
      </x:c>
      <x:c r="D182" s="34" t="n">
        <x:v>100</x:v>
      </x:c>
      <x:c r="E182" s="34" t="n">
        <x:v>125</x:v>
      </x:c>
      <x:c r="F182" s="34" t="n">
        <x:v>80</x:v>
      </x:c>
      <x:c r="G182" s="34" t="n">
        <x:v>20.83</x:v>
      </x:c>
      <x:c r="H182" s="34" t="n">
        <x:v>5.2</x:v>
      </x:c>
      <x:c r="I182" s="34" t="n">
        <x:v>5.2</x:v>
      </x:c>
      <x:c r="J182" s="34" t="n">
        <x:v>29.9</x:v>
      </x:c>
      <x:c r="K182" s="36" t="n">
        <x:v>82.60869565217392</x:v>
      </x:c>
      <x:c r="L182" s="22" t="str">
        <x:v>桶装盐渍红乳牛肝菌</x:v>
      </x:c>
      <x:c r="M182" s="36" t="n">
        <x:v>0.7844</x:v>
      </x:c>
      <x:c r="N182" s="22" t="str">
        <x:v>可能匹配待确认</x:v>
      </x:c>
    </x:row>
    <x:row r="183">
      <x:c r="A183" s="22" t="str">
        <x:v>蘑菇</x:v>
      </x:c>
      <x:c r="B183" s="22" t="str">
        <x:v>猴头菇</x:v>
      </x:c>
      <x:c r="C183" s="22" t="str">
        <x:v>猴头菇</x:v>
      </x:c>
      <x:c r="D183" s="34"/>
      <x:c r="E183" s="34"/>
      <x:c r="F183" s="34"/>
      <x:c r="G183" s="34"/>
      <x:c r="H183" s="34"/>
      <x:c r="I183" s="34" t="n">
        <x:v>0</x:v>
      </x:c>
      <x:c r="J183" s="34"/>
      <x:c r="K183" s="36"/>
      <x:c r="L183" s="22" t="str">
        <x:v>龙爪菇</x:v>
      </x:c>
      <x:c r="M183" s="36" t="n">
        <x:v>0.3333</x:v>
      </x:c>
      <x:c r="N183" s="22" t="str">
        <x:v>未匹配</x:v>
      </x:c>
    </x:row>
    <x:row r="184">
      <x:c r="A184" s="22" t="str">
        <x:v>蘑菇</x:v>
      </x:c>
      <x:c r="B184" s="22" t="str">
        <x:v>羊肚菌</x:v>
      </x:c>
      <x:c r="C184" s="22" t="str">
        <x:v>羊肚菌</x:v>
      </x:c>
      <x:c r="D184" s="34" t="n">
        <x:v>60</x:v>
      </x:c>
      <x:c r="E184" s="34" t="n">
        <x:v>62</x:v>
      </x:c>
      <x:c r="F184" s="34" t="n">
        <x:v>96.7741935483871</x:v>
      </x:c>
      <x:c r="G184" s="34" t="n">
        <x:v>65</x:v>
      </x:c>
      <x:c r="H184" s="34" t="n">
        <x:v>8.1</x:v>
      </x:c>
      <x:c r="I184" s="34" t="n">
        <x:v>8.1</x:v>
      </x:c>
      <x:c r="J184" s="34" t="n">
        <x:v>29.9</x:v>
      </x:c>
      <x:c r="K184" s="36" t="n">
        <x:v>72.90969899665551</x:v>
      </x:c>
      <x:c r="L184" s="22" t="str">
        <x:v>羊肚</x:v>
      </x:c>
      <x:c r="M184" s="36" t="n">
        <x:v>0.8733</x:v>
      </x:c>
      <x:c r="N184" s="22" t="str">
        <x:v>高相似待确认</x:v>
      </x:c>
    </x:row>
    <x:row r="185">
      <x:c r="A185" s="22" t="str">
        <x:v>蘑菇</x:v>
      </x:c>
      <x:c r="B185" s="22" t="str">
        <x:v>四味珍菌拼盘</x:v>
      </x:c>
      <x:c r="C185" s="22" t="str">
        <x:v>榆黄蘑</x:v>
      </x:c>
      <x:c r="D185" s="34" t="n">
        <x:v>50</x:v>
      </x:c>
      <x:c r="E185" s="34" t="n">
        <x:v>55</x:v>
      </x:c>
      <x:c r="F185" s="34" t="n">
        <x:v>90.9090909090909</x:v>
      </x:c>
      <x:c r="G185" s="34" t="n">
        <x:v>19</x:v>
      </x:c>
      <x:c r="H185" s="34" t="n">
        <x:v>3.19</x:v>
      </x:c>
      <x:c r="I185" s="34" t="n">
        <x:v>12</x:v>
      </x:c>
      <x:c r="J185" s="34" t="n">
        <x:v>32</x:v>
      </x:c>
      <x:c r="K185" s="36" t="n">
        <x:v>62.5</x:v>
      </x:c>
      <x:c r="L185" s="22" t="str">
        <x:v>榆黄蘑</x:v>
      </x:c>
      <x:c r="M185" s="36" t="n">
        <x:v>1</x:v>
      </x:c>
      <x:c r="N185" s="22" t="str">
        <x:v>名称一致</x:v>
      </x:c>
    </x:row>
    <x:row r="186">
      <x:c r="A186" s="22" t="str">
        <x:v>蘑菇</x:v>
      </x:c>
      <x:c r="B186" s="22" t="str">
        <x:v>四味珍菌拼盘</x:v>
      </x:c>
      <x:c r="C186" s="22" t="str">
        <x:v>舞茸菌</x:v>
      </x:c>
      <x:c r="D186" s="34" t="n">
        <x:v>50</x:v>
      </x:c>
      <x:c r="E186" s="34" t="n">
        <x:v>50</x:v>
      </x:c>
      <x:c r="F186" s="34" t="n">
        <x:v>100</x:v>
      </x:c>
      <x:c r="G186" s="34" t="n">
        <x:v>28.7</x:v>
      </x:c>
      <x:c r="H186" s="34" t="n">
        <x:v>2.9</x:v>
      </x:c>
      <x:c r="I186" s="34"/>
      <x:c r="J186" s="34"/>
      <x:c r="K186" s="36"/>
      <x:c r="L186" s="22" t="str">
        <x:v>舞茸菇</x:v>
      </x:c>
      <x:c r="M186" s="36" t="n">
        <x:v>0.6667</x:v>
      </x:c>
      <x:c r="N186" s="22" t="str">
        <x:v>未匹配</x:v>
      </x:c>
    </x:row>
    <x:row r="187">
      <x:c r="A187" s="22" t="str">
        <x:v>蘑菇</x:v>
      </x:c>
      <x:c r="B187" s="22" t="str">
        <x:v>四味珍菌拼盘</x:v>
      </x:c>
      <x:c r="C187" s="22" t="str">
        <x:v>珊瑚菌</x:v>
      </x:c>
      <x:c r="D187" s="34" t="n">
        <x:v>50</x:v>
      </x:c>
      <x:c r="E187" s="34" t="n">
        <x:v>55.5</x:v>
      </x:c>
      <x:c r="F187" s="34" t="n">
        <x:v>90.09009009009009</x:v>
      </x:c>
      <x:c r="G187" s="34" t="n">
        <x:v>26.5</x:v>
      </x:c>
      <x:c r="H187" s="34" t="n">
        <x:v>2.95</x:v>
      </x:c>
      <x:c r="I187" s="34"/>
      <x:c r="J187" s="34"/>
      <x:c r="K187" s="36"/>
      <x:c r="L187" s="22" t="str">
        <x:v>金耳菌</x:v>
      </x:c>
      <x:c r="M187" s="36" t="n">
        <x:v>0.3333</x:v>
      </x:c>
      <x:c r="N187" s="22" t="str">
        <x:v>未匹配</x:v>
      </x:c>
    </x:row>
    <x:row r="188">
      <x:c r="A188" s="22" t="str">
        <x:v>蘑菇</x:v>
      </x:c>
      <x:c r="B188" s="22" t="str">
        <x:v>四味珍菌拼盘</x:v>
      </x:c>
      <x:c r="C188" s="22" t="str">
        <x:v>猪肚菌</x:v>
      </x:c>
      <x:c r="D188" s="34" t="n">
        <x:v>50</x:v>
      </x:c>
      <x:c r="E188" s="34" t="n">
        <x:v>52.64</x:v>
      </x:c>
      <x:c r="F188" s="34" t="n">
        <x:v>94.98480243161094</x:v>
      </x:c>
      <x:c r="G188" s="34" t="n">
        <x:v>24</x:v>
      </x:c>
      <x:c r="H188" s="34" t="n">
        <x:v>2.53</x:v>
      </x:c>
      <x:c r="I188" s="34"/>
      <x:c r="J188" s="34"/>
      <x:c r="K188" s="36"/>
      <x:c r="L188" s="22" t="str">
        <x:v>猪肚菌</x:v>
      </x:c>
      <x:c r="M188" s="36" t="n">
        <x:v>1</x:v>
      </x:c>
      <x:c r="N188" s="22" t="str">
        <x:v>名称一致</x:v>
      </x:c>
    </x:row>
    <x:row r="189">
      <x:c r="A189" s="22" t="str">
        <x:v>蘑菇</x:v>
      </x:c>
      <x:c r="B189" s="22" t="str">
        <x:v>六味珍菌拼盘</x:v>
      </x:c>
      <x:c r="C189" s="22" t="str">
        <x:v>牛肝菌</x:v>
      </x:c>
      <x:c r="D189" s="34" t="n">
        <x:v>50</x:v>
      </x:c>
      <x:c r="E189" s="34" t="n">
        <x:v>53.2</x:v>
      </x:c>
      <x:c r="F189" s="34" t="n">
        <x:v>93.98496240601503</x:v>
      </x:c>
      <x:c r="G189" s="34" t="str">
        <x:v>39,5</x:v>
      </x:c>
      <x:c r="H189" s="34" t="n">
        <x:v>4.2</x:v>
      </x:c>
      <x:c r="I189" s="34" t="n">
        <x:v>17.67</x:v>
      </x:c>
      <x:c r="J189" s="34" t="n">
        <x:v>46</x:v>
      </x:c>
      <x:c r="K189" s="36" t="n">
        <x:v>61.586956521739125</x:v>
      </x:c>
      <x:c r="L189" s="22" t="str">
        <x:v>黑牛肝菌</x:v>
      </x:c>
      <x:c r="M189" s="36" t="n">
        <x:v>0.89</x:v>
      </x:c>
      <x:c r="N189" s="22" t="str">
        <x:v>高相似待确认</x:v>
      </x:c>
    </x:row>
    <x:row r="190">
      <x:c r="A190" s="22" t="str">
        <x:v>蘑菇</x:v>
      </x:c>
      <x:c r="B190" s="22" t="str">
        <x:v>六味珍菌拼盘</x:v>
      </x:c>
      <x:c r="C190" s="22" t="str">
        <x:v>香薰</x:v>
      </x:c>
      <x:c r="D190" s="34" t="n">
        <x:v>50</x:v>
      </x:c>
      <x:c r="E190" s="34" t="n">
        <x:v>53.2</x:v>
      </x:c>
      <x:c r="F190" s="34" t="n">
        <x:v>93.98496240601503</x:v>
      </x:c>
      <x:c r="G190" s="34" t="str">
        <x:v>37,5</x:v>
      </x:c>
      <x:c r="H190" s="34" t="n">
        <x:v>3.99</x:v>
      </x:c>
      <x:c r="I190" s="34"/>
      <x:c r="J190" s="34"/>
      <x:c r="K190" s="36"/>
      <x:c r="L190" s="22" t="str">
        <x:v>香椰乳</x:v>
      </x:c>
      <x:c r="M190" s="36" t="n">
        <x:v>0.4</x:v>
      </x:c>
      <x:c r="N190" s="22" t="str">
        <x:v>未匹配</x:v>
      </x:c>
    </x:row>
    <x:row r="191">
      <x:c r="A191" s="22" t="str">
        <x:v>蘑菇</x:v>
      </x:c>
      <x:c r="B191" s="22" t="str">
        <x:v>六味珍菌拼盘</x:v>
      </x:c>
      <x:c r="C191" s="22" t="str">
        <x:v>绣球</x:v>
      </x:c>
      <x:c r="D191" s="34" t="n">
        <x:v>50</x:v>
      </x:c>
      <x:c r="E191" s="34" t="n">
        <x:v>50</x:v>
      </x:c>
      <x:c r="F191" s="34" t="n">
        <x:v>100</x:v>
      </x:c>
      <x:c r="G191" s="34" t="n">
        <x:v>20.5</x:v>
      </x:c>
      <x:c r="H191" s="34" t="n">
        <x:v>2.1</x:v>
      </x:c>
      <x:c r="I191" s="34"/>
      <x:c r="J191" s="34"/>
      <x:c r="K191" s="36"/>
      <x:c r="L191" s="22" t="str">
        <x:v>绣球菌</x:v>
      </x:c>
      <x:c r="M191" s="36" t="n">
        <x:v>0.8733</x:v>
      </x:c>
      <x:c r="N191" s="22" t="str">
        <x:v>高相似待确认</x:v>
      </x:c>
    </x:row>
    <x:row r="192">
      <x:c r="A192" s="22" t="str">
        <x:v>蘑菇</x:v>
      </x:c>
      <x:c r="B192" s="22" t="str">
        <x:v>六味珍菌拼盘</x:v>
      </x:c>
      <x:c r="C192" s="22" t="str">
        <x:v>赤松茸</x:v>
      </x:c>
      <x:c r="D192" s="34" t="n">
        <x:v>50</x:v>
      </x:c>
      <x:c r="E192" s="34" t="n">
        <x:v>54.9</x:v>
      </x:c>
      <x:c r="F192" s="34" t="n">
        <x:v>91.07468123861568</x:v>
      </x:c>
      <x:c r="G192" s="34" t="n">
        <x:v>24.45</x:v>
      </x:c>
      <x:c r="H192" s="34" t="n">
        <x:v>2.68</x:v>
      </x:c>
      <x:c r="I192" s="34"/>
      <x:c r="J192" s="34"/>
      <x:c r="K192" s="36"/>
      <x:c r="L192" s="22" t="str">
        <x:v>赤松茸</x:v>
      </x:c>
      <x:c r="M192" s="36" t="n">
        <x:v>1</x:v>
      </x:c>
      <x:c r="N192" s="22" t="str">
        <x:v>名称一致</x:v>
      </x:c>
    </x:row>
    <x:row r="193">
      <x:c r="A193" s="22" t="str">
        <x:v>蘑菇</x:v>
      </x:c>
      <x:c r="B193" s="22" t="str">
        <x:v>六味珍菌拼盘</x:v>
      </x:c>
      <x:c r="C193" s="22" t="str">
        <x:v>黑鸡枞</x:v>
      </x:c>
      <x:c r="D193" s="34" t="n">
        <x:v>50</x:v>
      </x:c>
      <x:c r="E193" s="34" t="n">
        <x:v>51</x:v>
      </x:c>
      <x:c r="F193" s="34" t="n">
        <x:v>98.0392156862745</x:v>
      </x:c>
      <x:c r="G193" s="34" t="n">
        <x:v>28</x:v>
      </x:c>
      <x:c r="H193" s="34" t="n">
        <x:v>2.9</x:v>
      </x:c>
      <x:c r="I193" s="34"/>
      <x:c r="J193" s="34"/>
      <x:c r="K193" s="36"/>
      <x:c r="L193" s="22" t="str">
        <x:v>黑皮鸡枞菌</x:v>
      </x:c>
      <x:c r="M193" s="36" t="n">
        <x:v>0.75</x:v>
      </x:c>
      <x:c r="N193" s="22" t="str">
        <x:v>可能匹配待确认</x:v>
      </x:c>
    </x:row>
    <x:row r="194">
      <x:c r="A194" s="22" t="str">
        <x:v>蘑菇</x:v>
      </x:c>
      <x:c r="B194" s="22" t="str">
        <x:v>六味珍菌拼盘</x:v>
      </x:c>
      <x:c r="C194" s="22" t="str">
        <x:v>滑子菇</x:v>
      </x:c>
      <x:c r="D194" s="34" t="n">
        <x:v>50</x:v>
      </x:c>
      <x:c r="E194" s="34" t="n">
        <x:v>52.7</x:v>
      </x:c>
      <x:c r="F194" s="34" t="n">
        <x:v>94.87666034155598</x:v>
      </x:c>
      <x:c r="G194" s="34" t="n">
        <x:v>17</x:v>
      </x:c>
      <x:c r="H194" s="34" t="n">
        <x:v>1.8</x:v>
      </x:c>
      <x:c r="I194" s="34"/>
      <x:c r="J194" s="34"/>
      <x:c r="K194" s="36"/>
      <x:c r="L194" s="22" t="str">
        <x:v>滑子菇</x:v>
      </x:c>
      <x:c r="M194" s="36" t="n">
        <x:v>1</x:v>
      </x:c>
      <x:c r="N194" s="22" t="str">
        <x:v>名称一致</x:v>
      </x:c>
    </x:row>
    <x:row r="195">
      <x:c r="A195" s="22" t="str">
        <x:v>蘑菇</x:v>
      </x:c>
      <x:c r="B195" s="22" t="str">
        <x:v>十界珍菌拼盘</x:v>
      </x:c>
      <x:c r="C195" s="22" t="str">
        <x:v>竹荪</x:v>
      </x:c>
      <x:c r="D195" s="34" t="n">
        <x:v>30</x:v>
      </x:c>
      <x:c r="E195" s="34" t="n">
        <x:v>30.3</x:v>
      </x:c>
      <x:c r="F195" s="34" t="n">
        <x:v>99.00990099009901</x:v>
      </x:c>
      <x:c r="G195" s="34" t="n">
        <x:v>115</x:v>
      </x:c>
      <x:c r="H195" s="34" t="n">
        <x:v>6.9</x:v>
      </x:c>
      <x:c r="I195" s="34" t="n">
        <x:v>29.28</x:v>
      </x:c>
      <x:c r="J195" s="34" t="n">
        <x:v>108</x:v>
      </x:c>
      <x:c r="K195" s="36" t="n">
        <x:v>72.88888888888889</x:v>
      </x:c>
      <x:c r="L195" s="22" t="str">
        <x:v>竹荪</x:v>
      </x:c>
      <x:c r="M195" s="36" t="n">
        <x:v>1</x:v>
      </x:c>
      <x:c r="N195" s="22" t="str">
        <x:v>名称一致</x:v>
      </x:c>
    </x:row>
    <x:row r="196">
      <x:c r="A196" s="22" t="str">
        <x:v>蘑菇</x:v>
      </x:c>
      <x:c r="B196" s="22" t="str">
        <x:v>十界珍菌拼盘</x:v>
      </x:c>
      <x:c r="C196" s="22" t="str">
        <x:v>猪肚菌</x:v>
      </x:c>
      <x:c r="D196" s="34" t="n">
        <x:v>50</x:v>
      </x:c>
      <x:c r="E196" s="34" t="n">
        <x:v>52.7</x:v>
      </x:c>
      <x:c r="F196" s="34" t="n">
        <x:v>94.87666034155598</x:v>
      </x:c>
      <x:c r="G196" s="34" t="n">
        <x:v>24</x:v>
      </x:c>
      <x:c r="H196" s="34" t="n">
        <x:v>2.53</x:v>
      </x:c>
      <x:c r="I196" s="34"/>
      <x:c r="J196" s="34"/>
      <x:c r="K196" s="36"/>
      <x:c r="L196" s="22" t="str">
        <x:v>猪肚菌</x:v>
      </x:c>
      <x:c r="M196" s="36" t="n">
        <x:v>1</x:v>
      </x:c>
      <x:c r="N196" s="22" t="str">
        <x:v>名称一致</x:v>
      </x:c>
    </x:row>
    <x:row r="197">
      <x:c r="A197" s="22" t="str">
        <x:v>蘑菇</x:v>
      </x:c>
      <x:c r="B197" s="22" t="str">
        <x:v>十界珍菌拼盘</x:v>
      </x:c>
      <x:c r="C197" s="22" t="str">
        <x:v>滑子菇</x:v>
      </x:c>
      <x:c r="D197" s="34" t="n">
        <x:v>50</x:v>
      </x:c>
      <x:c r="E197" s="34" t="n">
        <x:v>52.7</x:v>
      </x:c>
      <x:c r="F197" s="34" t="n">
        <x:v>94.87666034155598</x:v>
      </x:c>
      <x:c r="G197" s="34" t="n">
        <x:v>17</x:v>
      </x:c>
      <x:c r="H197" s="34" t="n">
        <x:v>1.8</x:v>
      </x:c>
      <x:c r="I197" s="34"/>
      <x:c r="J197" s="34"/>
      <x:c r="K197" s="36"/>
      <x:c r="L197" s="22" t="str">
        <x:v>滑子菇</x:v>
      </x:c>
      <x:c r="M197" s="36" t="n">
        <x:v>1</x:v>
      </x:c>
      <x:c r="N197" s="22" t="str">
        <x:v>名称一致</x:v>
      </x:c>
    </x:row>
    <x:row r="198">
      <x:c r="A198" s="22" t="str">
        <x:v>蘑菇</x:v>
      </x:c>
      <x:c r="B198" s="22" t="str">
        <x:v>十界珍菌拼盘</x:v>
      </x:c>
      <x:c r="C198" s="22" t="str">
        <x:v>香蕈</x:v>
      </x:c>
      <x:c r="D198" s="34" t="n">
        <x:v>50</x:v>
      </x:c>
      <x:c r="E198" s="34" t="n">
        <x:v>53.2</x:v>
      </x:c>
      <x:c r="F198" s="34" t="n">
        <x:v>93.98496240601503</x:v>
      </x:c>
      <x:c r="G198" s="34" t="n">
        <x:v>37.5</x:v>
      </x:c>
      <x:c r="H198" s="34" t="n">
        <x:v>4</x:v>
      </x:c>
      <x:c r="I198" s="34"/>
      <x:c r="J198" s="34"/>
      <x:c r="K198" s="36"/>
      <x:c r="L198" s="22" t="str">
        <x:v>香椰乳</x:v>
      </x:c>
      <x:c r="M198" s="36" t="n">
        <x:v>0.4</x:v>
      </x:c>
      <x:c r="N198" s="22" t="str">
        <x:v>未匹配</x:v>
      </x:c>
    </x:row>
    <x:row r="199">
      <x:c r="A199" s="22" t="str">
        <x:v>蘑菇</x:v>
      </x:c>
      <x:c r="B199" s="22" t="str">
        <x:v>十界珍菌拼盘</x:v>
      </x:c>
      <x:c r="C199" s="22" t="str">
        <x:v>金耳</x:v>
      </x:c>
      <x:c r="D199" s="34" t="n">
        <x:v>50</x:v>
      </x:c>
      <x:c r="E199" s="34" t="n">
        <x:v>51</x:v>
      </x:c>
      <x:c r="F199" s="34" t="n">
        <x:v>98.0392156862745</x:v>
      </x:c>
      <x:c r="G199" s="34" t="n">
        <x:v>15</x:v>
      </x:c>
      <x:c r="H199" s="34" t="n">
        <x:v>1.5</x:v>
      </x:c>
      <x:c r="I199" s="34"/>
      <x:c r="J199" s="34"/>
      <x:c r="K199" s="36"/>
      <x:c r="L199" s="22" t="str">
        <x:v>金耳菌</x:v>
      </x:c>
      <x:c r="M199" s="36" t="n">
        <x:v>0.8733</x:v>
      </x:c>
      <x:c r="N199" s="22" t="str">
        <x:v>高相似待确认</x:v>
      </x:c>
    </x:row>
    <x:row r="200">
      <x:c r="A200" s="22" t="str">
        <x:v>蘑菇</x:v>
      </x:c>
      <x:c r="B200" s="22" t="str">
        <x:v>十界珍菌拼盘</x:v>
      </x:c>
      <x:c r="C200" s="22" t="str">
        <x:v>鹿茸菇</x:v>
      </x:c>
      <x:c r="D200" s="34" t="n">
        <x:v>50</x:v>
      </x:c>
      <x:c r="E200" s="34" t="n">
        <x:v>50</x:v>
      </x:c>
      <x:c r="F200" s="34" t="n">
        <x:v>100</x:v>
      </x:c>
      <x:c r="G200" s="34" t="n">
        <x:v>7.4</x:v>
      </x:c>
      <x:c r="H200" s="34" t="n">
        <x:v>0.8</x:v>
      </x:c>
      <x:c r="I200" s="34"/>
      <x:c r="J200" s="34"/>
      <x:c r="K200" s="36"/>
      <x:c r="L200" s="22" t="str">
        <x:v>鹿茸菇</x:v>
      </x:c>
      <x:c r="M200" s="36" t="n">
        <x:v>1</x:v>
      </x:c>
      <x:c r="N200" s="22" t="str">
        <x:v>名称一致</x:v>
      </x:c>
    </x:row>
    <x:row r="201">
      <x:c r="A201" s="22" t="str">
        <x:v>蘑菇</x:v>
      </x:c>
      <x:c r="B201" s="22" t="str">
        <x:v>十界珍菌拼盘</x:v>
      </x:c>
      <x:c r="C201" s="22" t="str">
        <x:v>赤松茸</x:v>
      </x:c>
      <x:c r="D201" s="34" t="n">
        <x:v>50</x:v>
      </x:c>
      <x:c r="E201" s="34" t="n">
        <x:v>54.9</x:v>
      </x:c>
      <x:c r="F201" s="34" t="n">
        <x:v>91.07468123861568</x:v>
      </x:c>
      <x:c r="G201" s="34" t="n">
        <x:v>24.45</x:v>
      </x:c>
      <x:c r="H201" s="34" t="n">
        <x:v>2.78</x:v>
      </x:c>
      <x:c r="I201" s="34"/>
      <x:c r="J201" s="34"/>
      <x:c r="K201" s="36"/>
      <x:c r="L201" s="22" t="str">
        <x:v>赤松茸</x:v>
      </x:c>
      <x:c r="M201" s="36" t="n">
        <x:v>1</x:v>
      </x:c>
      <x:c r="N201" s="22" t="str">
        <x:v>名称一致</x:v>
      </x:c>
    </x:row>
    <x:row r="202">
      <x:c r="A202" s="22" t="str">
        <x:v>蘑菇</x:v>
      </x:c>
      <x:c r="B202" s="22" t="str">
        <x:v>十界珍菌拼盘</x:v>
      </x:c>
      <x:c r="C202" s="22" t="str">
        <x:v>榆黄蘑</x:v>
      </x:c>
      <x:c r="D202" s="34" t="n">
        <x:v>50</x:v>
      </x:c>
      <x:c r="E202" s="34" t="n">
        <x:v>55</x:v>
      </x:c>
      <x:c r="F202" s="34" t="n">
        <x:v>90.9090909090909</x:v>
      </x:c>
      <x:c r="G202" s="34" t="n">
        <x:v>19</x:v>
      </x:c>
      <x:c r="H202" s="34" t="n">
        <x:v>2.1</x:v>
      </x:c>
      <x:c r="I202" s="34"/>
      <x:c r="J202" s="34"/>
      <x:c r="K202" s="36"/>
      <x:c r="L202" s="22" t="str">
        <x:v>榆黄蘑</x:v>
      </x:c>
      <x:c r="M202" s="36" t="n">
        <x:v>1</x:v>
      </x:c>
      <x:c r="N202" s="22" t="str">
        <x:v>名称一致</x:v>
      </x:c>
    </x:row>
    <x:row r="203">
      <x:c r="A203" s="22" t="str">
        <x:v>蘑菇</x:v>
      </x:c>
      <x:c r="B203" s="22" t="str">
        <x:v>十界珍菌拼盘</x:v>
      </x:c>
      <x:c r="C203" s="22" t="str">
        <x:v>黑牛肝菌</x:v>
      </x:c>
      <x:c r="D203" s="34" t="n">
        <x:v>30</x:v>
      </x:c>
      <x:c r="E203" s="34" t="n">
        <x:v>32</x:v>
      </x:c>
      <x:c r="F203" s="34" t="n">
        <x:v>93.75</x:v>
      </x:c>
      <x:c r="G203" s="34" t="n">
        <x:v>39.5</x:v>
      </x:c>
      <x:c r="H203" s="34" t="n">
        <x:v>2.7</x:v>
      </x:c>
      <x:c r="I203" s="34"/>
      <x:c r="J203" s="34"/>
      <x:c r="K203" s="36"/>
      <x:c r="L203" s="22" t="str">
        <x:v>黑牛肝菌</x:v>
      </x:c>
      <x:c r="M203" s="36" t="n">
        <x:v>1</x:v>
      </x:c>
      <x:c r="N203" s="22" t="str">
        <x:v>名称一致</x:v>
      </x:c>
    </x:row>
    <x:row r="204">
      <x:c r="A204" s="22" t="str">
        <x:v>蘑菇</x:v>
      </x:c>
      <x:c r="B204" s="22" t="str">
        <x:v>十界珍菌拼盘</x:v>
      </x:c>
      <x:c r="C204" s="22" t="str">
        <x:v>红乳</x:v>
      </x:c>
      <x:c r="D204" s="34" t="n">
        <x:v>80</x:v>
      </x:c>
      <x:c r="E204" s="34" t="n">
        <x:v>100</x:v>
      </x:c>
      <x:c r="F204" s="34" t="n">
        <x:v>80</x:v>
      </x:c>
      <x:c r="G204" s="34" t="n">
        <x:v>20.83</x:v>
      </x:c>
      <x:c r="H204" s="34" t="n">
        <x:v>4.17</x:v>
      </x:c>
      <x:c r="I204" s="34"/>
      <x:c r="J204" s="34"/>
      <x:c r="K204" s="36"/>
      <x:c r="L204" s="22" t="str">
        <x:v>桶装盐渍红乳牛肝菌</x:v>
      </x:c>
      <x:c r="M204" s="36" t="n">
        <x:v>0.7844</x:v>
      </x:c>
      <x:c r="N204" s="22" t="str">
        <x:v>可能匹配待确认</x:v>
      </x:c>
    </x:row>
    <x:row r="205">
      <x:c r="A205" s="22" t="str">
        <x:v>饮品</x:v>
      </x:c>
      <x:c r="B205" s="22" t="str">
        <x:v>轻颜羽衣甘蓝</x:v>
      </x:c>
      <x:c r="C205" s="22" t="str">
        <x:v>青提果茸</x:v>
      </x:c>
      <x:c r="D205" s="34" t="n">
        <x:v>10</x:v>
      </x:c>
      <x:c r="E205" s="34" t="n">
        <x:v>10.5</x:v>
      </x:c>
      <x:c r="F205" s="34" t="n">
        <x:v>95.23809523809524</x:v>
      </x:c>
      <x:c r="G205" s="34" t="str">
        <x:v>37.5瓶</x:v>
      </x:c>
      <x:c r="H205" s="34" t="n">
        <x:v>0.33</x:v>
      </x:c>
      <x:c r="I205" s="34" t="n">
        <x:v>4.4</x:v>
      </x:c>
      <x:c r="J205" s="34" t="n">
        <x:v>22</x:v>
      </x:c>
      <x:c r="K205" s="36" t="n">
        <x:v>0.8</x:v>
      </x:c>
      <x:c r="L205" s="22" t="str">
        <x:v>甄选青提汁</x:v>
      </x:c>
      <x:c r="M205" s="36" t="n">
        <x:v>0.4444</x:v>
      </x:c>
      <x:c r="N205" s="22" t="str">
        <x:v>未匹配</x:v>
      </x:c>
    </x:row>
    <x:row r="206">
      <x:c r="A206" s="22" t="str">
        <x:v>饮品</x:v>
      </x:c>
      <x:c r="B206" s="22" t="str">
        <x:v>轻颜羽衣甘蓝</x:v>
      </x:c>
      <x:c r="C206" s="22" t="str">
        <x:v>奇异果茸</x:v>
      </x:c>
      <x:c r="D206" s="34" t="n">
        <x:v>30</x:v>
      </x:c>
      <x:c r="E206" s="34" t="n">
        <x:v>31.57</x:v>
      </x:c>
      <x:c r="F206" s="34" t="n">
        <x:v>95.02692429521699</x:v>
      </x:c>
      <x:c r="G206" s="34" t="str">
        <x:v>37.5瓶</x:v>
      </x:c>
      <x:c r="H206" s="34" t="n">
        <x:v>0.99</x:v>
      </x:c>
      <x:c r="I206" s="34"/>
      <x:c r="J206" s="34"/>
      <x:c r="K206" s="36"/>
      <x:c r="L206" s="22" t="str">
        <x:v>甄选奇异果果茸</x:v>
      </x:c>
      <x:c r="M206" s="36" t="n">
        <x:v>0.7273</x:v>
      </x:c>
      <x:c r="N206" s="22" t="str">
        <x:v>可能匹配待确认</x:v>
      </x:c>
    </x:row>
    <x:row r="207">
      <x:c r="A207" s="22" t="str">
        <x:v>饮品</x:v>
      </x:c>
      <x:c r="B207" s="22" t="str">
        <x:v>轻颜羽衣甘蓝</x:v>
      </x:c>
      <x:c r="C207" s="22" t="str">
        <x:v>茉莉绿茶</x:v>
      </x:c>
      <x:c r="D207" s="34" t="n">
        <x:v>150</x:v>
      </x:c>
      <x:c r="E207" s="34" t="n">
        <x:v>5</x:v>
      </x:c>
      <x:c r="F207" s="34" t="n">
        <x:v>3000</x:v>
      </x:c>
      <x:c r="G207" s="34" t="str">
        <x:v>62袋</x:v>
      </x:c>
      <x:c r="H207" s="34" t="n">
        <x:v>0.62</x:v>
      </x:c>
      <x:c r="I207" s="34"/>
      <x:c r="J207" s="34"/>
      <x:c r="K207" s="36"/>
      <x:c r="L207" s="22" t="str">
        <x:v>SevenQ茉莉绿茶</x:v>
      </x:c>
      <x:c r="M207" s="36" t="n">
        <x:v>0.82</x:v>
      </x:c>
      <x:c r="N207" s="22" t="str">
        <x:v>可能匹配待确认</x:v>
      </x:c>
    </x:row>
    <x:row r="208">
      <x:c r="A208" s="22" t="str">
        <x:v>饮品</x:v>
      </x:c>
      <x:c r="B208" s="22" t="str">
        <x:v>轻颜羽衣甘蓝</x:v>
      </x:c>
      <x:c r="C208" s="22" t="str">
        <x:v>冰糖糖浆</x:v>
      </x:c>
      <x:c r="D208" s="34" t="n">
        <x:v>25</x:v>
      </x:c>
      <x:c r="E208" s="34" t="n">
        <x:v>26.31</x:v>
      </x:c>
      <x:c r="F208" s="34" t="n">
        <x:v>95.02090459901179</x:v>
      </x:c>
      <x:c r="G208" s="34" t="n">
        <x:v>9.59</x:v>
      </x:c>
      <x:c r="H208" s="34" t="n">
        <x:v>0.5</x:v>
      </x:c>
      <x:c r="I208" s="34"/>
      <x:c r="J208" s="34"/>
      <x:c r="K208" s="36"/>
      <x:c r="L208" s="22" t="str">
        <x:v>调味糖浆（冰糖糖浆）</x:v>
      </x:c>
      <x:c r="M208" s="36" t="n">
        <x:v>0.84</x:v>
      </x:c>
      <x:c r="N208" s="22" t="str">
        <x:v>可能匹配待确认</x:v>
      </x:c>
    </x:row>
    <x:row r="209">
      <x:c r="A209" s="22" t="str">
        <x:v>饮品</x:v>
      </x:c>
      <x:c r="B209" s="22" t="str">
        <x:v>轻颜羽衣甘蓝</x:v>
      </x:c>
      <x:c r="C209" s="22" t="str">
        <x:v>冰水</x:v>
      </x:c>
      <x:c r="D209" s="34" t="n">
        <x:v>100</x:v>
      </x:c>
      <x:c r="E209" s="34" t="n">
        <x:v>100</x:v>
      </x:c>
      <x:c r="F209" s="34" t="n">
        <x:v>100</x:v>
      </x:c>
      <x:c r="G209" s="34"/>
      <x:c r="H209" s="34"/>
      <x:c r="I209" s="34"/>
      <x:c r="J209" s="34"/>
      <x:c r="K209" s="36"/>
      <x:c r="L209" s="22" t="str">
        <x:v>椰皇水</x:v>
      </x:c>
      <x:c r="M209" s="36" t="n">
        <x:v>0.4</x:v>
      </x:c>
      <x:c r="N209" s="22" t="str">
        <x:v>未匹配</x:v>
      </x:c>
    </x:row>
    <x:row r="210">
      <x:c r="A210" s="22" t="str">
        <x:v>饮品</x:v>
      </x:c>
      <x:c r="B210" s="22" t="str">
        <x:v>轻颜羽衣甘蓝</x:v>
      </x:c>
      <x:c r="C210" s="22" t="str">
        <x:v>苹果鲜果</x:v>
      </x:c>
      <x:c r="D210" s="34" t="n">
        <x:v>30</x:v>
      </x:c>
      <x:c r="E210" s="34" t="n">
        <x:v>32</x:v>
      </x:c>
      <x:c r="F210" s="34" t="n">
        <x:v>93.75</x:v>
      </x:c>
      <x:c r="G210" s="34" t="n">
        <x:v>7</x:v>
      </x:c>
      <x:c r="H210" s="34" t="n">
        <x:v>0.45</x:v>
      </x:c>
      <x:c r="I210" s="34"/>
      <x:c r="J210" s="34"/>
      <x:c r="K210" s="36"/>
      <x:c r="L210" s="22" t="str">
        <x:v>甄选奇异果果茸</x:v>
      </x:c>
      <x:c r="M210" s="36" t="n">
        <x:v>0.3636</x:v>
      </x:c>
      <x:c r="N210" s="22" t="str">
        <x:v>未匹配</x:v>
      </x:c>
    </x:row>
    <x:row r="211">
      <x:c r="A211" s="22" t="str">
        <x:v>饮品</x:v>
      </x:c>
      <x:c r="B211" s="22" t="str">
        <x:v>轻颜羽衣甘蓝</x:v>
      </x:c>
      <x:c r="C211" s="22" t="str">
        <x:v>奇异果鲜果</x:v>
      </x:c>
      <x:c r="D211" s="34" t="n">
        <x:v>50</x:v>
      </x:c>
      <x:c r="E211" s="34" t="n">
        <x:v>55</x:v>
      </x:c>
      <x:c r="F211" s="34" t="n">
        <x:v>90.9090909090909</x:v>
      </x:c>
      <x:c r="G211" s="34" t="n">
        <x:v>10</x:v>
      </x:c>
      <x:c r="H211" s="34" t="n">
        <x:v>1.1</x:v>
      </x:c>
      <x:c r="I211" s="34"/>
      <x:c r="J211" s="34"/>
      <x:c r="K211" s="36"/>
      <x:c r="L211" s="22" t="str">
        <x:v>甄选奇异果果茸</x:v>
      </x:c>
      <x:c r="M211" s="36" t="n">
        <x:v>0.6667</x:v>
      </x:c>
      <x:c r="N211" s="22" t="str">
        <x:v>未匹配</x:v>
      </x:c>
    </x:row>
    <x:row r="212">
      <x:c r="A212" s="22" t="str">
        <x:v>饮品</x:v>
      </x:c>
      <x:c r="B212" s="22" t="str">
        <x:v>轻颜羽衣甘蓝</x:v>
      </x:c>
      <x:c r="C212" s="22" t="str">
        <x:v>去籽黄柠檬</x:v>
      </x:c>
      <x:c r="D212" s="34" t="n">
        <x:v>10</x:v>
      </x:c>
      <x:c r="E212" s="34" t="n">
        <x:v>10.5</x:v>
      </x:c>
      <x:c r="F212" s="34" t="n">
        <x:v>95.23809523809524</x:v>
      </x:c>
      <x:c r="G212" s="34" t="n">
        <x:v>8</x:v>
      </x:c>
      <x:c r="H212" s="34" t="n">
        <x:v>0.16</x:v>
      </x:c>
      <x:c r="I212" s="34"/>
      <x:c r="J212" s="34"/>
      <x:c r="K212" s="36"/>
      <x:c r="L212" s="22" t="str">
        <x:v>黄柠檬</x:v>
      </x:c>
      <x:c r="M212" s="36" t="n">
        <x:v>0.86</x:v>
      </x:c>
      <x:c r="N212" s="22" t="str">
        <x:v>高相似待确认</x:v>
      </x:c>
    </x:row>
    <x:row r="213">
      <x:c r="A213" s="22" t="str">
        <x:v>饮品</x:v>
      </x:c>
      <x:c r="B213" s="22" t="str">
        <x:v>轻颜羽衣甘蓝</x:v>
      </x:c>
      <x:c r="C213" s="22" t="str">
        <x:v>羽衣甘蓝叶子</x:v>
      </x:c>
      <x:c r="D213" s="34" t="n">
        <x:v>15</x:v>
      </x:c>
      <x:c r="E213" s="34" t="n">
        <x:v>15.5</x:v>
      </x:c>
      <x:c r="F213" s="34" t="n">
        <x:v>96.7741935483871</x:v>
      </x:c>
      <x:c r="G213" s="34" t="n">
        <x:v>8</x:v>
      </x:c>
      <x:c r="H213" s="34" t="n">
        <x:v>0.25</x:v>
      </x:c>
      <x:c r="I213" s="34"/>
      <x:c r="J213" s="34"/>
      <x:c r="K213" s="36"/>
      <x:c r="L213" s="22" t="str">
        <x:v>羽衣甘蓝果汁包</x:v>
      </x:c>
      <x:c r="M213" s="36" t="n">
        <x:v>0.6154</x:v>
      </x:c>
      <x:c r="N213" s="22" t="str">
        <x:v>未匹配</x:v>
      </x:c>
    </x:row>
    <x:row r="214">
      <x:c r="A214" s="22" t="str">
        <x:v>饮品</x:v>
      </x:c>
      <x:c r="B214" s="22" t="str">
        <x:v>轻颜羽衣甘蓝</x:v>
      </x:c>
      <x:c r="C214" s="22" t="str">
        <x:v>冰块</x:v>
      </x:c>
      <x:c r="D214" s="34"/>
      <x:c r="E214" s="34"/>
      <x:c r="F214" s="34"/>
      <x:c r="G214" s="34"/>
      <x:c r="H214" s="34"/>
      <x:c r="I214" s="34"/>
      <x:c r="J214" s="34"/>
      <x:c r="K214" s="36"/>
      <x:c r="L214" s="22" t="str">
        <x:v>饵块</x:v>
      </x:c>
      <x:c r="M214" s="36" t="n">
        <x:v>0.5</x:v>
      </x:c>
      <x:c r="N214" s="22" t="str">
        <x:v>未匹配</x:v>
      </x:c>
    </x:row>
    <x:row r="215">
      <x:c r="A215" s="22" t="str">
        <x:v>饮品</x:v>
      </x:c>
      <x:c r="B215" s="22" t="str">
        <x:v>VC番茄芭乐</x:v>
      </x:c>
      <x:c r="C215" s="22" t="str">
        <x:v>芭乐果茸</x:v>
      </x:c>
      <x:c r="D215" s="34" t="n">
        <x:v>30</x:v>
      </x:c>
      <x:c r="E215" s="34" t="n">
        <x:v>31</x:v>
      </x:c>
      <x:c r="F215" s="34" t="n">
        <x:v>96.7741935483871</x:v>
      </x:c>
      <x:c r="G215" s="34" t="n">
        <x:v>39.6</x:v>
      </x:c>
      <x:c r="H215" s="34" t="n">
        <x:v>1</x:v>
      </x:c>
      <x:c r="I215" s="34" t="n">
        <x:v>7.5</x:v>
      </x:c>
      <x:c r="J215" s="34" t="n">
        <x:v>22</x:v>
      </x:c>
      <x:c r="K215" s="36" t="n">
        <x:v>0.659</x:v>
      </x:c>
      <x:c r="L215" s="22" t="str">
        <x:v>甄选芭乐果茸</x:v>
      </x:c>
      <x:c r="M215" s="36" t="n">
        <x:v>0.8733</x:v>
      </x:c>
      <x:c r="N215" s="22" t="str">
        <x:v>高相似待确认</x:v>
      </x:c>
    </x:row>
    <x:row r="216">
      <x:c r="A216" s="22" t="str">
        <x:v>饮品</x:v>
      </x:c>
      <x:c r="B216" s="22" t="str">
        <x:v>VC番茄芭乐</x:v>
      </x:c>
      <x:c r="C216" s="22" t="str">
        <x:v>茉莉绿茶</x:v>
      </x:c>
      <x:c r="D216" s="34" t="n">
        <x:v>150</x:v>
      </x:c>
      <x:c r="E216" s="34" t="n">
        <x:v>5</x:v>
      </x:c>
      <x:c r="F216" s="34" t="n">
        <x:v>3000</x:v>
      </x:c>
      <x:c r="G216" s="34" t="str">
        <x:v>62袋</x:v>
      </x:c>
      <x:c r="H216" s="34" t="n">
        <x:v>0.62</x:v>
      </x:c>
      <x:c r="I216" s="34"/>
      <x:c r="J216" s="34"/>
      <x:c r="K216" s="36"/>
      <x:c r="L216" s="22" t="str">
        <x:v>SevenQ茉莉绿茶</x:v>
      </x:c>
      <x:c r="M216" s="36" t="n">
        <x:v>0.82</x:v>
      </x:c>
      <x:c r="N216" s="22" t="str">
        <x:v>可能匹配待确认</x:v>
      </x:c>
    </x:row>
    <x:row r="217">
      <x:c r="A217" s="22" t="str">
        <x:v>饮品</x:v>
      </x:c>
      <x:c r="B217" s="22" t="str">
        <x:v>VC番茄芭乐</x:v>
      </x:c>
      <x:c r="C217" s="22" t="str">
        <x:v>冰糖糖浆</x:v>
      </x:c>
      <x:c r="D217" s="34" t="n">
        <x:v>25</x:v>
      </x:c>
      <x:c r="E217" s="34" t="n">
        <x:v>26.3</x:v>
      </x:c>
      <x:c r="F217" s="34" t="n">
        <x:v>95.05703422053232</x:v>
      </x:c>
      <x:c r="G217" s="34" t="n">
        <x:v>9.59</x:v>
      </x:c>
      <x:c r="H217" s="34" t="n">
        <x:v>0.5</x:v>
      </x:c>
      <x:c r="I217" s="34"/>
      <x:c r="J217" s="34"/>
      <x:c r="K217" s="36"/>
      <x:c r="L217" s="22" t="str">
        <x:v>调味糖浆（冰糖糖浆）</x:v>
      </x:c>
      <x:c r="M217" s="36" t="n">
        <x:v>0.84</x:v>
      </x:c>
      <x:c r="N217" s="22" t="str">
        <x:v>可能匹配待确认</x:v>
      </x:c>
    </x:row>
    <x:row r="218">
      <x:c r="A218" s="22" t="str">
        <x:v>饮品</x:v>
      </x:c>
      <x:c r="B218" s="22" t="str">
        <x:v>VC番茄芭乐</x:v>
      </x:c>
      <x:c r="C218" s="22" t="str">
        <x:v>冷冻柳橙汁</x:v>
      </x:c>
      <x:c r="D218" s="34" t="n">
        <x:v>30</x:v>
      </x:c>
      <x:c r="E218" s="34" t="n">
        <x:v>31.5</x:v>
      </x:c>
      <x:c r="F218" s="34" t="n">
        <x:v>95.23809523809524</x:v>
      </x:c>
      <x:c r="G218" s="34" t="str">
        <x:v>37.5瓶</x:v>
      </x:c>
      <x:c r="H218" s="34" t="n">
        <x:v>2.4</x:v>
      </x:c>
      <x:c r="I218" s="34"/>
      <x:c r="J218" s="34"/>
      <x:c r="K218" s="36"/>
      <x:c r="L218" s="22" t="str">
        <x:v>冷冻进口香橙汁</x:v>
      </x:c>
      <x:c r="M218" s="36" t="n">
        <x:v>0.6667</x:v>
      </x:c>
      <x:c r="N218" s="22" t="str">
        <x:v>未匹配</x:v>
      </x:c>
    </x:row>
    <x:row r="219">
      <x:c r="A219" s="22" t="str">
        <x:v>饮品</x:v>
      </x:c>
      <x:c r="B219" s="22" t="str">
        <x:v>VC番茄芭乐</x:v>
      </x:c>
      <x:c r="C219" s="22" t="str">
        <x:v>冷冻草莓果</x:v>
      </x:c>
      <x:c r="D219" s="34" t="n">
        <x:v>20</x:v>
      </x:c>
      <x:c r="E219" s="34" t="n">
        <x:v>22</x:v>
      </x:c>
      <x:c r="F219" s="34" t="n">
        <x:v>90.9090909090909</x:v>
      </x:c>
      <x:c r="G219" s="34" t="str">
        <x:v>10.23袋</x:v>
      </x:c>
      <x:c r="H219" s="34" t="n">
        <x:v>0.45</x:v>
      </x:c>
      <x:c r="I219" s="34"/>
      <x:c r="J219" s="34"/>
      <x:c r="K219" s="36"/>
      <x:c r="L219" s="22" t="str">
        <x:v>冷冻红颜草莓肉</x:v>
      </x:c>
      <x:c r="M219" s="36" t="n">
        <x:v>0.6667</x:v>
      </x:c>
      <x:c r="N219" s="22" t="str">
        <x:v>未匹配</x:v>
      </x:c>
    </x:row>
    <x:row r="220">
      <x:c r="A220" s="22" t="str">
        <x:v>饮品</x:v>
      </x:c>
      <x:c r="B220" s="22" t="str">
        <x:v>VC番茄芭乐</x:v>
      </x:c>
      <x:c r="C220" s="22" t="str">
        <x:v>新鲜小番茄</x:v>
      </x:c>
      <x:c r="D220" s="34" t="n">
        <x:v>100</x:v>
      </x:c>
      <x:c r="E220" s="34" t="n">
        <x:v>103</x:v>
      </x:c>
      <x:c r="F220" s="34" t="n">
        <x:v>97.08737864077669</x:v>
      </x:c>
      <x:c r="G220" s="34" t="n">
        <x:v>6</x:v>
      </x:c>
      <x:c r="H220" s="34" t="n">
        <x:v>1.2</x:v>
      </x:c>
      <x:c r="I220" s="34"/>
      <x:c r="J220" s="34"/>
      <x:c r="K220" s="36"/>
      <x:c r="L220" s="22" t="str">
        <x:v>鲜花饼</x:v>
      </x:c>
      <x:c r="M220" s="36" t="n">
        <x:v>0.25</x:v>
      </x:c>
      <x:c r="N220" s="22" t="str">
        <x:v>未匹配</x:v>
      </x:c>
    </x:row>
    <x:row r="221">
      <x:c r="A221" s="22" t="str">
        <x:v>饮品</x:v>
      </x:c>
      <x:c r="B221" s="22" t="str">
        <x:v>VC番茄芭乐</x:v>
      </x:c>
      <x:c r="C221" s="22" t="str">
        <x:v>去籽黄柠檬</x:v>
      </x:c>
      <x:c r="D221" s="34" t="n">
        <x:v>10</x:v>
      </x:c>
      <x:c r="E221" s="34" t="n">
        <x:v>10.5</x:v>
      </x:c>
      <x:c r="F221" s="34" t="n">
        <x:v>95.23809523809524</x:v>
      </x:c>
      <x:c r="G221" s="34" t="n">
        <x:v>8</x:v>
      </x:c>
      <x:c r="H221" s="34" t="n">
        <x:v>0.17</x:v>
      </x:c>
      <x:c r="I221" s="34"/>
      <x:c r="J221" s="34"/>
      <x:c r="K221" s="36"/>
      <x:c r="L221" s="22" t="str">
        <x:v>黄柠檬</x:v>
      </x:c>
      <x:c r="M221" s="36" t="n">
        <x:v>0.86</x:v>
      </x:c>
      <x:c r="N221" s="22" t="str">
        <x:v>高相似待确认</x:v>
      </x:c>
    </x:row>
    <x:row r="222">
      <x:c r="A222" s="22" t="str">
        <x:v>饮品</x:v>
      </x:c>
      <x:c r="B222" s="22" t="str">
        <x:v>VC番茄芭乐</x:v>
      </x:c>
      <x:c r="C222" s="22" t="str">
        <x:v>奇亚籽</x:v>
      </x:c>
      <x:c r="D222" s="34" t="n">
        <x:v>30</x:v>
      </x:c>
      <x:c r="E222" s="34" t="n">
        <x:v>20</x:v>
      </x:c>
      <x:c r="F222" s="34" t="n">
        <x:v>150</x:v>
      </x:c>
      <x:c r="G222" s="34" t="n">
        <x:v>21</x:v>
      </x:c>
      <x:c r="H222" s="34" t="n">
        <x:v>0.8</x:v>
      </x:c>
      <x:c r="I222" s="34"/>
      <x:c r="J222" s="34"/>
      <x:c r="K222" s="36"/>
      <x:c r="L222" s="22" t="str">
        <x:v>甄选奇异果果茸</x:v>
      </x:c>
      <x:c r="M222" s="36" t="n">
        <x:v>0.2</x:v>
      </x:c>
      <x:c r="N222" s="22" t="str">
        <x:v>未匹配</x:v>
      </x:c>
    </x:row>
    <x:row r="223">
      <x:c r="A223" s="22" t="str">
        <x:v>饮品</x:v>
      </x:c>
      <x:c r="B223" s="22" t="str">
        <x:v>VC番茄芭乐</x:v>
      </x:c>
      <x:c r="C223" s="22" t="str">
        <x:v>新鲜芭乐</x:v>
      </x:c>
      <x:c r="D223" s="34" t="n">
        <x:v>4</x:v>
      </x:c>
      <x:c r="E223" s="34" t="n">
        <x:v>20</x:v>
      </x:c>
      <x:c r="F223" s="34" t="n">
        <x:v>20</x:v>
      </x:c>
      <x:c r="G223" s="34" t="n">
        <x:v>10</x:v>
      </x:c>
      <x:c r="H223" s="34" t="n">
        <x:v>0.4</x:v>
      </x:c>
      <x:c r="I223" s="34"/>
      <x:c r="J223" s="34"/>
      <x:c r="K223" s="36"/>
      <x:c r="L223" s="22" t="str">
        <x:v>甄选芭乐果茸</x:v>
      </x:c>
      <x:c r="M223" s="36" t="n">
        <x:v>0.4</x:v>
      </x:c>
      <x:c r="N223" s="22" t="str">
        <x:v>未匹配</x:v>
      </x:c>
    </x:row>
    <x:row r="224">
      <x:c r="A224" s="22" t="str">
        <x:v>饮品</x:v>
      </x:c>
      <x:c r="B224" s="22" t="str">
        <x:v>VC番茄芭乐</x:v>
      </x:c>
      <x:c r="C224" s="22" t="str">
        <x:v>冰水</x:v>
      </x:c>
      <x:c r="D224" s="34" t="n">
        <x:v>100</x:v>
      </x:c>
      <x:c r="E224" s="34"/>
      <x:c r="F224" s="34"/>
      <x:c r="G224" s="34"/>
      <x:c r="H224" s="34"/>
      <x:c r="I224" s="34"/>
      <x:c r="J224" s="34"/>
      <x:c r="K224" s="36"/>
      <x:c r="L224" s="22" t="str">
        <x:v>椰皇水</x:v>
      </x:c>
      <x:c r="M224" s="36" t="n">
        <x:v>0.4</x:v>
      </x:c>
      <x:c r="N224" s="22" t="str">
        <x:v>未匹配</x:v>
      </x:c>
    </x:row>
    <x:row r="225">
      <x:c r="A225" s="22" t="str">
        <x:v>饮品</x:v>
      </x:c>
      <x:c r="B225" s="22" t="str">
        <x:v>刺梨山茶</x:v>
      </x:c>
      <x:c r="C225" s="22" t="str">
        <x:v>冷冻刺梨汁</x:v>
      </x:c>
      <x:c r="D225" s="34" t="n">
        <x:v>120</x:v>
      </x:c>
      <x:c r="E225" s="34" t="n">
        <x:v>120</x:v>
      </x:c>
      <x:c r="F225" s="34" t="n">
        <x:v>100</x:v>
      </x:c>
      <x:c r="G225" s="34" t="n">
        <x:v>34</x:v>
      </x:c>
      <x:c r="H225" s="34" t="n">
        <x:v>4.16</x:v>
      </x:c>
      <x:c r="I225" s="34" t="n">
        <x:v>6.54</x:v>
      </x:c>
      <x:c r="J225" s="34" t="n">
        <x:v>22</x:v>
      </x:c>
      <x:c r="K225" s="36" t="n">
        <x:v>0.7027</x:v>
      </x:c>
      <x:c r="L225" s="22" t="str">
        <x:v>冷冻刺梨汁</x:v>
      </x:c>
      <x:c r="M225" s="36" t="n">
        <x:v>1</x:v>
      </x:c>
      <x:c r="N225" s="22" t="str">
        <x:v>名称一致</x:v>
      </x:c>
    </x:row>
    <x:row r="226">
      <x:c r="A226" s="22" t="str">
        <x:v>饮品</x:v>
      </x:c>
      <x:c r="B226" s="22" t="str">
        <x:v>刺梨山茶</x:v>
      </x:c>
      <x:c r="C226" s="22" t="str">
        <x:v>茉莉绿茶</x:v>
      </x:c>
      <x:c r="D226" s="34" t="n">
        <x:v>150</x:v>
      </x:c>
      <x:c r="E226" s="34" t="n">
        <x:v>5</x:v>
      </x:c>
      <x:c r="F226" s="34" t="n">
        <x:v>3000</x:v>
      </x:c>
      <x:c r="G226" s="34" t="str">
        <x:v>62袋</x:v>
      </x:c>
      <x:c r="H226" s="34" t="n">
        <x:v>0.62</x:v>
      </x:c>
      <x:c r="I226" s="34"/>
      <x:c r="J226" s="34"/>
      <x:c r="K226" s="36"/>
      <x:c r="L226" s="22" t="str">
        <x:v>SevenQ茉莉绿茶</x:v>
      </x:c>
      <x:c r="M226" s="36" t="n">
        <x:v>0.82</x:v>
      </x:c>
      <x:c r="N226" s="22" t="str">
        <x:v>可能匹配待确认</x:v>
      </x:c>
    </x:row>
    <x:row r="227">
      <x:c r="A227" s="22" t="str">
        <x:v>饮品</x:v>
      </x:c>
      <x:c r="B227" s="22" t="str">
        <x:v>刺梨山茶</x:v>
      </x:c>
      <x:c r="C227" s="22" t="str">
        <x:v>冰糖糖浆</x:v>
      </x:c>
      <x:c r="D227" s="34" t="n">
        <x:v>50</x:v>
      </x:c>
      <x:c r="E227" s="34" t="n">
        <x:v>52</x:v>
      </x:c>
      <x:c r="F227" s="34" t="n">
        <x:v>96.15384615384615</x:v>
      </x:c>
      <x:c r="G227" s="34" t="n">
        <x:v>9.59</x:v>
      </x:c>
      <x:c r="H227" s="34" t="n">
        <x:v>1</x:v>
      </x:c>
      <x:c r="I227" s="34"/>
      <x:c r="J227" s="34"/>
      <x:c r="K227" s="36"/>
      <x:c r="L227" s="22" t="str">
        <x:v>调味糖浆（冰糖糖浆）</x:v>
      </x:c>
      <x:c r="M227" s="36" t="n">
        <x:v>0.84</x:v>
      </x:c>
      <x:c r="N227" s="22" t="str">
        <x:v>可能匹配待确认</x:v>
      </x:c>
    </x:row>
    <x:row r="228">
      <x:c r="A228" s="22" t="str">
        <x:v>饮品</x:v>
      </x:c>
      <x:c r="B228" s="22" t="str">
        <x:v>刺梨山茶</x:v>
      </x:c>
      <x:c r="C228" s="22" t="str">
        <x:v>刺梨果</x:v>
      </x:c>
      <x:c r="D228" s="34" t="n">
        <x:v>10</x:v>
      </x:c>
      <x:c r="E228" s="34" t="n">
        <x:v>10</x:v>
      </x:c>
      <x:c r="F228" s="34" t="n">
        <x:v>100</x:v>
      </x:c>
      <x:c r="G228" s="34" t="n">
        <x:v>30</x:v>
      </x:c>
      <x:c r="H228" s="34" t="n">
        <x:v>0.6</x:v>
      </x:c>
      <x:c r="I228" s="34"/>
      <x:c r="J228" s="34"/>
      <x:c r="K228" s="36"/>
      <x:c r="L228" s="22" t="str">
        <x:v>甄选刺梨汁</x:v>
      </x:c>
      <x:c r="M228" s="36" t="n">
        <x:v>0.5</x:v>
      </x:c>
      <x:c r="N228" s="22" t="str">
        <x:v>未匹配</x:v>
      </x:c>
    </x:row>
    <x:row r="229">
      <x:c r="A229" s="22" t="str">
        <x:v>饮品</x:v>
      </x:c>
      <x:c r="B229" s="22" t="str">
        <x:v>刺梨山茶</x:v>
      </x:c>
      <x:c r="C229" s="22" t="str">
        <x:v>香水柠檬/2片</x:v>
      </x:c>
      <x:c r="D229" s="34" t="n">
        <x:v>2</x:v>
      </x:c>
      <x:c r="E229" s="34" t="n">
        <x:v>10</x:v>
      </x:c>
      <x:c r="F229" s="34" t="n">
        <x:v>20</x:v>
      </x:c>
      <x:c r="G229" s="34" t="n">
        <x:v>8</x:v>
      </x:c>
      <x:c r="H229" s="34" t="n">
        <x:v>0.16</x:v>
      </x:c>
      <x:c r="I229" s="34"/>
      <x:c r="J229" s="34"/>
      <x:c r="K229" s="36"/>
      <x:c r="L229" s="22" t="str">
        <x:v>香水柠檬</x:v>
      </x:c>
      <x:c r="M229" s="36" t="n">
        <x:v>0.8733</x:v>
      </x:c>
      <x:c r="N229" s="22" t="str">
        <x:v>高相似待确认</x:v>
      </x:c>
    </x:row>
    <x:row r="230">
      <x:c r="A230" s="22" t="str">
        <x:v>饮品</x:v>
      </x:c>
      <x:c r="B230" s="22" t="str">
        <x:v>刺梨山茶</x:v>
      </x:c>
      <x:c r="C230" s="22" t="str">
        <x:v>冰块</x:v>
      </x:c>
      <x:c r="D230" s="34"/>
      <x:c r="E230" s="34"/>
      <x:c r="F230" s="34"/>
      <x:c r="G230" s="34"/>
      <x:c r="H230" s="34"/>
      <x:c r="I230" s="34"/>
      <x:c r="J230" s="34"/>
      <x:c r="K230" s="36"/>
      <x:c r="L230" s="22" t="str">
        <x:v>饵块</x:v>
      </x:c>
      <x:c r="M230" s="36" t="n">
        <x:v>0.5</x:v>
      </x:c>
      <x:c r="N230" s="22" t="str">
        <x:v>未匹配</x:v>
      </x:c>
    </x:row>
    <x:row r="231">
      <x:c r="A231" s="22" t="str">
        <x:v>饮品</x:v>
      </x:c>
      <x:c r="B231" s="22" t="str">
        <x:v>超A醒目胡萝卜橙</x:v>
      </x:c>
      <x:c r="C231" s="22" t="str">
        <x:v>冷冻胡萝卜香橙汁</x:v>
      </x:c>
      <x:c r="D231" s="34" t="n">
        <x:v>90</x:v>
      </x:c>
      <x:c r="E231" s="34" t="n">
        <x:v>90</x:v>
      </x:c>
      <x:c r="F231" s="34" t="n">
        <x:v>100</x:v>
      </x:c>
      <x:c r="G231" s="34" t="str">
        <x:v>17.5袋</x:v>
      </x:c>
      <x:c r="H231" s="34" t="n">
        <x:v>2.82</x:v>
      </x:c>
      <x:c r="I231" s="34" t="n">
        <x:v>6.48</x:v>
      </x:c>
      <x:c r="J231" s="34" t="n">
        <x:v>22</x:v>
      </x:c>
      <x:c r="K231" s="36" t="n">
        <x:v>0.7054</x:v>
      </x:c>
      <x:c r="L231" s="22" t="str">
        <x:v>冷冻香橙胡萝卜汁</x:v>
      </x:c>
      <x:c r="M231" s="36" t="n">
        <x:v>0.75</x:v>
      </x:c>
      <x:c r="N231" s="22" t="str">
        <x:v>可能匹配待确认</x:v>
      </x:c>
    </x:row>
    <x:row r="232">
      <x:c r="A232" s="22" t="str">
        <x:v>饮品</x:v>
      </x:c>
      <x:c r="B232" s="22" t="str">
        <x:v>超A醒目胡萝卜橙</x:v>
      </x:c>
      <x:c r="C232" s="22" t="str">
        <x:v>茉莉绿茶</x:v>
      </x:c>
      <x:c r="D232" s="34" t="n">
        <x:v>100</x:v>
      </x:c>
      <x:c r="E232" s="34" t="n">
        <x:v>3.34</x:v>
      </x:c>
      <x:c r="F232" s="34" t="n">
        <x:v>2994.011976047904</x:v>
      </x:c>
      <x:c r="G232" s="34" t="str">
        <x:v>62袋</x:v>
      </x:c>
      <x:c r="H232" s="34" t="n">
        <x:v>0.42</x:v>
      </x:c>
      <x:c r="I232" s="34"/>
      <x:c r="J232" s="34"/>
      <x:c r="K232" s="36"/>
      <x:c r="L232" s="22" t="str">
        <x:v>SevenQ茉莉绿茶</x:v>
      </x:c>
      <x:c r="M232" s="36" t="n">
        <x:v>0.82</x:v>
      </x:c>
      <x:c r="N232" s="22" t="str">
        <x:v>可能匹配待确认</x:v>
      </x:c>
    </x:row>
    <x:row r="233">
      <x:c r="A233" s="22" t="str">
        <x:v>饮品</x:v>
      </x:c>
      <x:c r="B233" s="22" t="str">
        <x:v>超A醒目胡萝卜橙</x:v>
      </x:c>
      <x:c r="C233" s="22" t="str">
        <x:v>冷冻柳橙汁</x:v>
      </x:c>
      <x:c r="D233" s="34" t="n">
        <x:v>50</x:v>
      </x:c>
      <x:c r="E233" s="34" t="n">
        <x:v>50</x:v>
      </x:c>
      <x:c r="F233" s="34" t="n">
        <x:v>100</x:v>
      </x:c>
      <x:c r="G233" s="34" t="str">
        <x:v>37.5瓶</x:v>
      </x:c>
      <x:c r="H233" s="34" t="n">
        <x:v>1.92</x:v>
      </x:c>
      <x:c r="I233" s="34"/>
      <x:c r="J233" s="34"/>
      <x:c r="K233" s="36"/>
      <x:c r="L233" s="22" t="str">
        <x:v>冷冻进口香橙汁</x:v>
      </x:c>
      <x:c r="M233" s="36" t="n">
        <x:v>0.6667</x:v>
      </x:c>
      <x:c r="N233" s="22" t="str">
        <x:v>未匹配</x:v>
      </x:c>
    </x:row>
    <x:row r="234">
      <x:c r="A234" s="22" t="str">
        <x:v>饮品</x:v>
      </x:c>
      <x:c r="B234" s="22" t="str">
        <x:v>超A醒目胡萝卜橙</x:v>
      </x:c>
      <x:c r="C234" s="22" t="str">
        <x:v>去籽黄柠檬</x:v>
      </x:c>
      <x:c r="D234" s="34" t="n">
        <x:v>10</x:v>
      </x:c>
      <x:c r="E234" s="34" t="n">
        <x:v>10</x:v>
      </x:c>
      <x:c r="F234" s="34" t="n">
        <x:v>100</x:v>
      </x:c>
      <x:c r="G234" s="34" t="n">
        <x:v>8</x:v>
      </x:c>
      <x:c r="H234" s="34" t="n">
        <x:v>0.16</x:v>
      </x:c>
      <x:c r="I234" s="34"/>
      <x:c r="J234" s="34"/>
      <x:c r="K234" s="36"/>
      <x:c r="L234" s="22" t="str">
        <x:v>黄柠檬</x:v>
      </x:c>
      <x:c r="M234" s="36" t="n">
        <x:v>0.86</x:v>
      </x:c>
      <x:c r="N234" s="22" t="str">
        <x:v>高相似待确认</x:v>
      </x:c>
    </x:row>
    <x:row r="235">
      <x:c r="A235" s="22" t="str">
        <x:v>饮品</x:v>
      </x:c>
      <x:c r="B235" s="22" t="str">
        <x:v>超A醒目胡萝卜橙</x:v>
      </x:c>
      <x:c r="C235" s="22" t="str">
        <x:v>奇亚籽</x:v>
      </x:c>
      <x:c r="D235" s="34" t="n">
        <x:v>30</x:v>
      </x:c>
      <x:c r="E235" s="34" t="n">
        <x:v>20</x:v>
      </x:c>
      <x:c r="F235" s="34" t="n">
        <x:v>150</x:v>
      </x:c>
      <x:c r="G235" s="34" t="n">
        <x:v>21</x:v>
      </x:c>
      <x:c r="H235" s="34" t="n">
        <x:v>0.8</x:v>
      </x:c>
      <x:c r="I235" s="34"/>
      <x:c r="J235" s="34"/>
      <x:c r="K235" s="36"/>
      <x:c r="L235" s="22" t="str">
        <x:v>甄选奇异果果茸</x:v>
      </x:c>
      <x:c r="M235" s="36" t="n">
        <x:v>0.2</x:v>
      </x:c>
      <x:c r="N235" s="22" t="str">
        <x:v>未匹配</x:v>
      </x:c>
    </x:row>
    <x:row r="236">
      <x:c r="A236" s="22" t="str">
        <x:v>饮品</x:v>
      </x:c>
      <x:c r="B236" s="22" t="str">
        <x:v>超A醒目胡萝卜橙</x:v>
      </x:c>
      <x:c r="C236" s="22" t="str">
        <x:v>新鲜胡萝卜</x:v>
      </x:c>
      <x:c r="D236" s="34" t="n">
        <x:v>80</x:v>
      </x:c>
      <x:c r="E236" s="34" t="n">
        <x:v>88.88</x:v>
      </x:c>
      <x:c r="F236" s="34" t="n">
        <x:v>90.00900090009002</x:v>
      </x:c>
      <x:c r="G236" s="34" t="n">
        <x:v>2</x:v>
      </x:c>
      <x:c r="H236" s="34" t="n">
        <x:v>0.36</x:v>
      </x:c>
      <x:c r="I236" s="34"/>
      <x:c r="J236" s="34"/>
      <x:c r="K236" s="36"/>
      <x:c r="L236" s="22" t="str">
        <x:v>胡萝卜果汁包</x:v>
      </x:c>
      <x:c r="M236" s="36" t="n">
        <x:v>0.5455</x:v>
      </x:c>
      <x:c r="N236" s="22" t="str">
        <x:v>未匹配</x:v>
      </x:c>
    </x:row>
    <x:row r="237">
      <x:c r="A237" s="22" t="str">
        <x:v>饮品</x:v>
      </x:c>
      <x:c r="B237" s="22" t="str">
        <x:v>超A醒目胡萝卜橙</x:v>
      </x:c>
      <x:c r="C237" s="22" t="str">
        <x:v>冰块</x:v>
      </x:c>
      <x:c r="D237" s="34"/>
      <x:c r="E237" s="34"/>
      <x:c r="F237" s="34"/>
      <x:c r="G237" s="34"/>
      <x:c r="H237" s="34"/>
      <x:c r="I237" s="34"/>
      <x:c r="J237" s="34"/>
      <x:c r="K237" s="36"/>
      <x:c r="L237" s="22" t="str">
        <x:v>饵块</x:v>
      </x:c>
      <x:c r="M237" s="36" t="n">
        <x:v>0.5</x:v>
      </x:c>
      <x:c r="N237" s="22" t="str">
        <x:v>未匹配</x:v>
      </x:c>
    </x:row>
    <x:row r="238">
      <x:c r="A238" s="22" t="str">
        <x:v>饮品</x:v>
      </x:c>
      <x:c r="B238" s="22" t="str">
        <x:v>青芒黄皮山茶</x:v>
      </x:c>
      <x:c r="C238" s="22" t="str">
        <x:v>青芒果汁</x:v>
      </x:c>
      <x:c r="D238" s="34" t="n">
        <x:v>90</x:v>
      </x:c>
      <x:c r="E238" s="34" t="n">
        <x:v>90</x:v>
      </x:c>
      <x:c r="F238" s="34" t="n">
        <x:v>100</x:v>
      </x:c>
      <x:c r="G238" s="34" t="str">
        <x:v>34瓶</x:v>
      </x:c>
      <x:c r="H238" s="34" t="n">
        <x:v>3.13</x:v>
      </x:c>
      <x:c r="I238" s="34" t="n">
        <x:v>5.29</x:v>
      </x:c>
      <x:c r="J238" s="34" t="n">
        <x:v>22</x:v>
      </x:c>
      <x:c r="K238" s="36" t="n">
        <x:v>0.7595000000000001</x:v>
      </x:c>
      <x:c r="L238" s="22" t="str">
        <x:v>青芒酸木瓜果汁包</x:v>
      </x:c>
      <x:c r="M238" s="36" t="n">
        <x:v>0.6667</x:v>
      </x:c>
      <x:c r="N238" s="22" t="str">
        <x:v>未匹配</x:v>
      </x:c>
    </x:row>
    <x:row r="239">
      <x:c r="A239" s="22" t="str">
        <x:v>饮品</x:v>
      </x:c>
      <x:c r="B239" s="22" t="str">
        <x:v>青芒黄皮山茶</x:v>
      </x:c>
      <x:c r="C239" s="22" t="str">
        <x:v>黄皮汁</x:v>
      </x:c>
      <x:c r="D239" s="34" t="n">
        <x:v>25</x:v>
      </x:c>
      <x:c r="E239" s="34" t="n">
        <x:v>25</x:v>
      </x:c>
      <x:c r="F239" s="34" t="n">
        <x:v>100</x:v>
      </x:c>
      <x:c r="G239" s="34" t="str">
        <x:v>37.5瓶</x:v>
      </x:c>
      <x:c r="H239" s="34" t="n">
        <x:v>0.96</x:v>
      </x:c>
      <x:c r="I239" s="34"/>
      <x:c r="J239" s="34"/>
      <x:c r="K239" s="36"/>
      <x:c r="L239" s="22" t="str">
        <x:v>冷冻黄皮汁</x:v>
      </x:c>
      <x:c r="M239" s="36" t="n">
        <x:v>0.86</x:v>
      </x:c>
      <x:c r="N239" s="22" t="str">
        <x:v>高相似待确认</x:v>
      </x:c>
    </x:row>
    <x:row r="240">
      <x:c r="A240" s="22" t="str">
        <x:v>饮品</x:v>
      </x:c>
      <x:c r="B240" s="22" t="str">
        <x:v>青芒黄皮山茶</x:v>
      </x:c>
      <x:c r="C240" s="22" t="str">
        <x:v>茉莉绿茶</x:v>
      </x:c>
      <x:c r="D240" s="34" t="n">
        <x:v>90</x:v>
      </x:c>
      <x:c r="E240" s="34" t="n">
        <x:v>3</x:v>
      </x:c>
      <x:c r="F240" s="34" t="n">
        <x:v>3000</x:v>
      </x:c>
      <x:c r="G240" s="34" t="str">
        <x:v>62袋</x:v>
      </x:c>
      <x:c r="H240" s="34" t="n">
        <x:v>0.38</x:v>
      </x:c>
      <x:c r="I240" s="34"/>
      <x:c r="J240" s="34"/>
      <x:c r="K240" s="36"/>
      <x:c r="L240" s="22" t="str">
        <x:v>SevenQ茉莉绿茶</x:v>
      </x:c>
      <x:c r="M240" s="36" t="n">
        <x:v>0.82</x:v>
      </x:c>
      <x:c r="N240" s="22" t="str">
        <x:v>可能匹配待确认</x:v>
      </x:c>
    </x:row>
    <x:row r="241">
      <x:c r="A241" s="22" t="str">
        <x:v>饮品</x:v>
      </x:c>
      <x:c r="B241" s="22" t="str">
        <x:v>青芒黄皮山茶</x:v>
      </x:c>
      <x:c r="C241" s="22" t="str">
        <x:v>直饮水</x:v>
      </x:c>
      <x:c r="D241" s="34" t="n">
        <x:v>90</x:v>
      </x:c>
      <x:c r="E241" s="34"/>
      <x:c r="F241" s="34"/>
      <x:c r="G241" s="34"/>
      <x:c r="H241" s="34"/>
      <x:c r="I241" s="34"/>
      <x:c r="J241" s="34"/>
      <x:c r="K241" s="36"/>
      <x:c r="L241" s="22" t="str">
        <x:v>椰皇水</x:v>
      </x:c>
      <x:c r="M241" s="36" t="n">
        <x:v>0.3333</x:v>
      </x:c>
      <x:c r="N241" s="22" t="str">
        <x:v>未匹配</x:v>
      </x:c>
    </x:row>
    <x:row r="242">
      <x:c r="A242" s="22" t="str">
        <x:v>饮品</x:v>
      </x:c>
      <x:c r="B242" s="22" t="str">
        <x:v>青芒黄皮山茶</x:v>
      </x:c>
      <x:c r="C242" s="22" t="str">
        <x:v>白糖浆</x:v>
      </x:c>
      <x:c r="D242" s="34" t="n">
        <x:v>25</x:v>
      </x:c>
      <x:c r="E242" s="34" t="n">
        <x:v>26</x:v>
      </x:c>
      <x:c r="F242" s="34" t="n">
        <x:v>96.15384615384615</x:v>
      </x:c>
      <x:c r="G242" s="34" t="n">
        <x:v>9.59</x:v>
      </x:c>
      <x:c r="H242" s="34" t="n">
        <x:v>0.5</x:v>
      </x:c>
      <x:c r="I242" s="34"/>
      <x:c r="J242" s="34"/>
      <x:c r="K242" s="36"/>
      <x:c r="L242" s="22" t="str">
        <x:v>竹蔗风味糖浆</x:v>
      </x:c>
      <x:c r="M242" s="36" t="n">
        <x:v>0.4444</x:v>
      </x:c>
      <x:c r="N242" s="22" t="str">
        <x:v>未匹配</x:v>
      </x:c>
    </x:row>
    <x:row r="243">
      <x:c r="A243" s="22" t="str">
        <x:v>饮品</x:v>
      </x:c>
      <x:c r="B243" s="22" t="str">
        <x:v>青芒黄皮山茶</x:v>
      </x:c>
      <x:c r="C243" s="22" t="str">
        <x:v>冷冻黄皮果</x:v>
      </x:c>
      <x:c r="D243" s="34" t="n">
        <x:v>20</x:v>
      </x:c>
      <x:c r="E243" s="34" t="n">
        <x:v>21</x:v>
      </x:c>
      <x:c r="F243" s="34" t="n">
        <x:v>95.23809523809524</x:v>
      </x:c>
      <x:c r="G243" s="34" t="str">
        <x:v>30袋</x:v>
      </x:c>
      <x:c r="H243" s="34" t="n">
        <x:v>0.32</x:v>
      </x:c>
      <x:c r="I243" s="34"/>
      <x:c r="J243" s="34"/>
      <x:c r="K243" s="36"/>
      <x:c r="L243" s="22" t="str">
        <x:v>冷冻黄皮果</x:v>
      </x:c>
      <x:c r="M243" s="36" t="n">
        <x:v>1</x:v>
      </x:c>
      <x:c r="N243" s="22" t="str">
        <x:v>名称一致</x:v>
      </x:c>
    </x:row>
    <x:row r="244">
      <x:c r="A244" s="22" t="str">
        <x:v>饮品</x:v>
      </x:c>
      <x:c r="B244" s="22" t="str">
        <x:v>青芒黄皮山茶</x:v>
      </x:c>
      <x:c r="C244" s="22" t="str">
        <x:v>冰块</x:v>
      </x:c>
      <x:c r="D244" s="34"/>
      <x:c r="E244" s="34"/>
      <x:c r="F244" s="34"/>
      <x:c r="G244" s="34"/>
      <x:c r="H244" s="34"/>
      <x:c r="I244" s="34"/>
      <x:c r="J244" s="34"/>
      <x:c r="K244" s="36"/>
      <x:c r="L244" s="22" t="str">
        <x:v>饵块</x:v>
      </x:c>
      <x:c r="M244" s="36" t="n">
        <x:v>0.5</x:v>
      </x:c>
      <x:c r="N244" s="22" t="str">
        <x:v>未匹配</x:v>
      </x:c>
    </x:row>
    <x:row r="245">
      <x:c r="A245" s="22" t="str">
        <x:v>饮品</x:v>
      </x:c>
      <x:c r="B245" s="22" t="str">
        <x:v>鲜花米奶酒</x:v>
      </x:c>
      <x:c r="C245" s="22" t="str">
        <x:v>荔枝</x:v>
      </x:c>
      <x:c r="D245" s="34" t="n">
        <x:v>10</x:v>
      </x:c>
      <x:c r="E245" s="34" t="n">
        <x:v>10</x:v>
      </x:c>
      <x:c r="F245" s="34" t="n">
        <x:v>100</x:v>
      </x:c>
      <x:c r="G245" s="34"/>
      <x:c r="H245" s="34" t="n">
        <x:v>1</x:v>
      </x:c>
      <x:c r="I245" s="34" t="n">
        <x:v>3.8</x:v>
      </x:c>
      <x:c r="J245" s="34" t="n">
        <x:v>18</x:v>
      </x:c>
      <x:c r="K245" s="36" t="n">
        <x:v>0.7888</x:v>
      </x:c>
      <x:c r="L245" s="22" t="str">
        <x:v>龙爪菇</x:v>
      </x:c>
      <x:c r="M245" s="36" t="n">
        <x:v>0</x:v>
      </x:c>
      <x:c r="N245" s="22" t="str">
        <x:v>未匹配</x:v>
      </x:c>
    </x:row>
    <x:row r="246">
      <x:c r="A246" s="22" t="str">
        <x:v>饮品</x:v>
      </x:c>
      <x:c r="B246" s="22" t="str">
        <x:v>鲜花米奶酒</x:v>
      </x:c>
      <x:c r="C246" s="22" t="str">
        <x:v>糖浆</x:v>
      </x:c>
      <x:c r="D246" s="34" t="n">
        <x:v>5</x:v>
      </x:c>
      <x:c r="E246" s="34" t="n">
        <x:v>5.2</x:v>
      </x:c>
      <x:c r="F246" s="34" t="n">
        <x:v>96.15384615384615</x:v>
      </x:c>
      <x:c r="G246" s="34" t="n">
        <x:v>9.59</x:v>
      </x:c>
      <x:c r="H246" s="34" t="n">
        <x:v>0.1</x:v>
      </x:c>
      <x:c r="I246" s="34"/>
      <x:c r="J246" s="34"/>
      <x:c r="K246" s="36"/>
      <x:c r="L246" s="22" t="str">
        <x:v>竹蔗风味糖浆</x:v>
      </x:c>
      <x:c r="M246" s="36" t="n">
        <x:v>0.8067</x:v>
      </x:c>
      <x:c r="N246" s="22" t="str">
        <x:v>可能匹配待确认</x:v>
      </x:c>
    </x:row>
    <x:row r="247">
      <x:c r="A247" s="22" t="str">
        <x:v>饮品</x:v>
      </x:c>
      <x:c r="B247" s="22" t="str">
        <x:v>鲜花米奶酒</x:v>
      </x:c>
      <x:c r="C247" s="22" t="str">
        <x:v>牛奶</x:v>
      </x:c>
      <x:c r="D247" s="34" t="n">
        <x:v>220</x:v>
      </x:c>
      <x:c r="E247" s="34" t="n">
        <x:v>220</x:v>
      </x:c>
      <x:c r="F247" s="34" t="n">
        <x:v>99.99999999999999</x:v>
      </x:c>
      <x:c r="G247" s="34" t="str">
        <x:v>8.34瓶</x:v>
      </x:c>
      <x:c r="H247" s="34" t="n">
        <x:v>1.84</x:v>
      </x:c>
      <x:c r="I247" s="34"/>
      <x:c r="J247" s="34"/>
      <x:c r="K247" s="36"/>
      <x:c r="L247" s="22" t="str">
        <x:v>祁牧鲜活牛奶</x:v>
      </x:c>
      <x:c r="M247" s="36" t="n">
        <x:v>0.8067</x:v>
      </x:c>
      <x:c r="N247" s="22" t="str">
        <x:v>可能匹配待确认</x:v>
      </x:c>
    </x:row>
    <x:row r="248">
      <x:c r="A248" s="22" t="str">
        <x:v>饮品</x:v>
      </x:c>
      <x:c r="B248" s="22" t="str">
        <x:v>鲜花米奶酒</x:v>
      </x:c>
      <x:c r="C248" s="22" t="str">
        <x:v>酒酿</x:v>
      </x:c>
      <x:c r="D248" s="34" t="n">
        <x:v>40</x:v>
      </x:c>
      <x:c r="E248" s="34" t="n">
        <x:v>44</x:v>
      </x:c>
      <x:c r="F248" s="34" t="n">
        <x:v>90.9090909090909</x:v>
      </x:c>
      <x:c r="G248" s="34" t="n">
        <x:v>9</x:v>
      </x:c>
      <x:c r="H248" s="34" t="n">
        <x:v>0.8</x:v>
      </x:c>
      <x:c r="I248" s="34"/>
      <x:c r="J248" s="34"/>
      <x:c r="K248" s="36"/>
      <x:c r="L248" s="22" t="str">
        <x:v>乐堡啤酒</x:v>
      </x:c>
      <x:c r="M248" s="36" t="n">
        <x:v>0.3333</x:v>
      </x:c>
      <x:c r="N248" s="22" t="str">
        <x:v>未匹配</x:v>
      </x:c>
    </x:row>
    <x:row r="249">
      <x:c r="A249" s="22" t="str">
        <x:v>饮品</x:v>
      </x:c>
      <x:c r="B249" s="22" t="str">
        <x:v>罐罐鲜花奶茶</x:v>
      </x:c>
      <x:c r="C249" s="22" t="str">
        <x:v>牛奶</x:v>
      </x:c>
      <x:c r="D249" s="34" t="n">
        <x:v>150</x:v>
      </x:c>
      <x:c r="E249" s="34" t="n">
        <x:v>150</x:v>
      </x:c>
      <x:c r="F249" s="34" t="n">
        <x:v>100</x:v>
      </x:c>
      <x:c r="G249" s="34" t="str">
        <x:v>8.34瓶</x:v>
      </x:c>
      <x:c r="H249" s="34" t="n">
        <x:v>2.5</x:v>
      </x:c>
      <x:c r="I249" s="34" t="n">
        <x:v>4.26</x:v>
      </x:c>
      <x:c r="J249" s="34" t="n">
        <x:v>22</x:v>
      </x:c>
      <x:c r="K249" s="36" t="n">
        <x:v>0.8062999999999999</x:v>
      </x:c>
      <x:c r="L249" s="22" t="str">
        <x:v>祁牧鲜活牛奶</x:v>
      </x:c>
      <x:c r="M249" s="36" t="n">
        <x:v>0.8067</x:v>
      </x:c>
      <x:c r="N249" s="22" t="str">
        <x:v>可能匹配待确认</x:v>
      </x:c>
    </x:row>
    <x:row r="250">
      <x:c r="A250" s="22" t="str">
        <x:v>饮品</x:v>
      </x:c>
      <x:c r="B250" s="22" t="str">
        <x:v>罐罐鲜花奶茶</x:v>
      </x:c>
      <x:c r="C250" s="22" t="str">
        <x:v>开水</x:v>
      </x:c>
      <x:c r="D250" s="34" t="n">
        <x:v>150</x:v>
      </x:c>
      <x:c r="E250" s="34"/>
      <x:c r="F250" s="34"/>
      <x:c r="G250" s="34"/>
      <x:c r="H250" s="34"/>
      <x:c r="I250" s="34"/>
      <x:c r="J250" s="34"/>
      <x:c r="K250" s="36"/>
      <x:c r="L250" s="22" t="str">
        <x:v>椰皇水</x:v>
      </x:c>
      <x:c r="M250" s="36" t="n">
        <x:v>0.4</x:v>
      </x:c>
      <x:c r="N250" s="22" t="str">
        <x:v>未匹配</x:v>
      </x:c>
    </x:row>
    <x:row r="251">
      <x:c r="A251" s="22" t="str">
        <x:v>饮品</x:v>
      </x:c>
      <x:c r="B251" s="22" t="str">
        <x:v>罐罐鲜花奶茶</x:v>
      </x:c>
      <x:c r="C251" s="22" t="str">
        <x:v>咖奶</x:v>
      </x:c>
      <x:c r="D251" s="34" t="n">
        <x:v>25</x:v>
      </x:c>
      <x:c r="E251" s="34" t="n">
        <x:v>25</x:v>
      </x:c>
      <x:c r="F251" s="34" t="n">
        <x:v>100</x:v>
      </x:c>
      <x:c r="G251" s="34" t="str">
        <x:v>25瓶</x:v>
      </x:c>
      <x:c r="H251" s="34" t="n">
        <x:v>0.63</x:v>
      </x:c>
      <x:c r="I251" s="34"/>
      <x:c r="J251" s="34"/>
      <x:c r="K251" s="36"/>
      <x:c r="L251" s="22" t="str">
        <x:v>常温酸奶</x:v>
      </x:c>
      <x:c r="M251" s="36" t="n">
        <x:v>0.3333</x:v>
      </x:c>
      <x:c r="N251" s="22" t="str">
        <x:v>未匹配</x:v>
      </x:c>
    </x:row>
    <x:row r="252">
      <x:c r="A252" s="22" t="str">
        <x:v>饮品</x:v>
      </x:c>
      <x:c r="B252" s="22" t="str">
        <x:v>罐罐鲜花奶茶</x:v>
      </x:c>
      <x:c r="C252" s="22" t="str">
        <x:v>冰糖糖浆</x:v>
      </x:c>
      <x:c r="D252" s="34" t="n">
        <x:v>15</x:v>
      </x:c>
      <x:c r="E252" s="34" t="n">
        <x:v>15.6</x:v>
      </x:c>
      <x:c r="F252" s="34" t="n">
        <x:v>96.15384615384616</x:v>
      </x:c>
      <x:c r="G252" s="34" t="n">
        <x:v>9.59</x:v>
      </x:c>
      <x:c r="H252" s="34" t="n">
        <x:v>0.3</x:v>
      </x:c>
      <x:c r="I252" s="34"/>
      <x:c r="J252" s="34"/>
      <x:c r="K252" s="36"/>
      <x:c r="L252" s="22" t="str">
        <x:v>调味糖浆（冰糖糖浆）</x:v>
      </x:c>
      <x:c r="M252" s="36" t="n">
        <x:v>0.84</x:v>
      </x:c>
      <x:c r="N252" s="22" t="str">
        <x:v>可能匹配待确认</x:v>
      </x:c>
    </x:row>
    <x:row r="253">
      <x:c r="A253" s="22" t="str">
        <x:v>饮品</x:v>
      </x:c>
      <x:c r="B253" s="22" t="str">
        <x:v>罐罐鲜花奶茶</x:v>
      </x:c>
      <x:c r="C253" s="22" t="str">
        <x:v>茉莉绿茶</x:v>
      </x:c>
      <x:c r="D253" s="34" t="n">
        <x:v>200</x:v>
      </x:c>
      <x:c r="E253" s="34" t="n">
        <x:v>6.67</x:v>
      </x:c>
      <x:c r="F253" s="34" t="n">
        <x:v>2998.500749625188</x:v>
      </x:c>
      <x:c r="G253" s="34" t="str">
        <x:v>62袋</x:v>
      </x:c>
      <x:c r="H253" s="34" t="n">
        <x:v>0.83</x:v>
      </x:c>
      <x:c r="I253" s="34"/>
      <x:c r="J253" s="34"/>
      <x:c r="K253" s="36"/>
      <x:c r="L253" s="22" t="str">
        <x:v>SevenQ茉莉绿茶</x:v>
      </x:c>
      <x:c r="M253" s="36" t="n">
        <x:v>0.82</x:v>
      </x:c>
      <x:c r="N253" s="22" t="str">
        <x:v>可能匹配待确认</x:v>
      </x:c>
    </x:row>
    <x:row r="254">
      <x:c r="A254" s="22" t="str">
        <x:v>饮品</x:v>
      </x:c>
      <x:c r="B254" s="22" t="str">
        <x:v>罗望子酸木瓜</x:v>
      </x:c>
      <x:c r="C254" s="22" t="str">
        <x:v>酸角汁</x:v>
      </x:c>
      <x:c r="D254" s="34" t="n">
        <x:v>30</x:v>
      </x:c>
      <x:c r="E254" s="34" t="n">
        <x:v>32</x:v>
      </x:c>
      <x:c r="F254" s="34" t="n">
        <x:v>93.75</x:v>
      </x:c>
      <x:c r="G254" s="34" t="str">
        <x:v>37.5瓶</x:v>
      </x:c>
      <x:c r="H254" s="34" t="n">
        <x:v>1</x:v>
      </x:c>
      <x:c r="I254" s="34" t="n">
        <x:v>4.87</x:v>
      </x:c>
      <x:c r="J254" s="34" t="n">
        <x:v>22</x:v>
      </x:c>
      <x:c r="K254" s="36" t="n">
        <x:v>0.7786</x:v>
      </x:c>
      <x:c r="L254" s="22" t="str">
        <x:v>酸角汁</x:v>
      </x:c>
      <x:c r="M254" s="36" t="n">
        <x:v>1</x:v>
      </x:c>
      <x:c r="N254" s="22" t="str">
        <x:v>名称一致</x:v>
      </x:c>
    </x:row>
    <x:row r="255">
      <x:c r="A255" s="22" t="str">
        <x:v>饮品</x:v>
      </x:c>
      <x:c r="B255" s="22" t="str">
        <x:v>罗望子酸木瓜</x:v>
      </x:c>
      <x:c r="C255" s="22" t="str">
        <x:v>茉莉绿茶</x:v>
      </x:c>
      <x:c r="D255" s="34" t="n">
        <x:v>90</x:v>
      </x:c>
      <x:c r="E255" s="34" t="n">
        <x:v>3</x:v>
      </x:c>
      <x:c r="F255" s="34" t="n">
        <x:v>3000</x:v>
      </x:c>
      <x:c r="G255" s="34" t="str">
        <x:v>62袋</x:v>
      </x:c>
      <x:c r="H255" s="34" t="n">
        <x:v>0.38</x:v>
      </x:c>
      <x:c r="I255" s="34"/>
      <x:c r="J255" s="34"/>
      <x:c r="K255" s="36"/>
      <x:c r="L255" s="22" t="str">
        <x:v>SevenQ茉莉绿茶</x:v>
      </x:c>
      <x:c r="M255" s="36" t="n">
        <x:v>0.82</x:v>
      </x:c>
      <x:c r="N255" s="22" t="str">
        <x:v>可能匹配待确认</x:v>
      </x:c>
    </x:row>
    <x:row r="256">
      <x:c r="A256" s="22" t="str">
        <x:v>饮品</x:v>
      </x:c>
      <x:c r="B256" s="22" t="str">
        <x:v>罗望子酸木瓜</x:v>
      </x:c>
      <x:c r="C256" s="22" t="str">
        <x:v>冰糖浆</x:v>
      </x:c>
      <x:c r="D256" s="34" t="n">
        <x:v>35</x:v>
      </x:c>
      <x:c r="E256" s="34" t="n">
        <x:v>36</x:v>
      </x:c>
      <x:c r="F256" s="34" t="n">
        <x:v>97.22222222222223</x:v>
      </x:c>
      <x:c r="G256" s="34" t="n">
        <x:v>9.59</x:v>
      </x:c>
      <x:c r="H256" s="34" t="n">
        <x:v>0.69</x:v>
      </x:c>
      <x:c r="I256" s="34"/>
      <x:c r="J256" s="34"/>
      <x:c r="K256" s="36"/>
      <x:c r="L256" s="22" t="str">
        <x:v>调味糖浆（冰糖糖浆）</x:v>
      </x:c>
      <x:c r="M256" s="36" t="n">
        <x:v>0.5455</x:v>
      </x:c>
      <x:c r="N256" s="22" t="str">
        <x:v>未匹配</x:v>
      </x:c>
    </x:row>
    <x:row r="257">
      <x:c r="A257" s="22" t="str">
        <x:v>饮品</x:v>
      </x:c>
      <x:c r="B257" s="22" t="str">
        <x:v>罗望子酸木瓜</x:v>
      </x:c>
      <x:c r="C257" s="22" t="str">
        <x:v>冷冻酸木瓜汁</x:v>
      </x:c>
      <x:c r="D257" s="34" t="n">
        <x:v>40</x:v>
      </x:c>
      <x:c r="E257" s="34" t="n">
        <x:v>40</x:v>
      </x:c>
      <x:c r="F257" s="34" t="n">
        <x:v>100</x:v>
      </x:c>
      <x:c r="G257" s="34" t="n">
        <x:v>35</x:v>
      </x:c>
      <x:c r="H257" s="34" t="n">
        <x:v>2.8</x:v>
      </x:c>
      <x:c r="I257" s="34"/>
      <x:c r="J257" s="34"/>
      <x:c r="K257" s="36"/>
      <x:c r="L257" s="22" t="str">
        <x:v>冷冻酸木瓜汁</x:v>
      </x:c>
      <x:c r="M257" s="36" t="n">
        <x:v>1</x:v>
      </x:c>
      <x:c r="N257" s="22" t="str">
        <x:v>名称一致</x:v>
      </x:c>
    </x:row>
    <x:row r="258">
      <x:c r="A258" s="22" t="str">
        <x:v>饮品</x:v>
      </x:c>
      <x:c r="B258" s="22" t="str">
        <x:v>罗望子酸木瓜</x:v>
      </x:c>
      <x:c r="C258" s="22" t="str">
        <x:v>纯净水</x:v>
      </x:c>
      <x:c r="D258" s="34" t="n">
        <x:v>100</x:v>
      </x:c>
      <x:c r="E258" s="34" t="n">
        <x:v>100</x:v>
      </x:c>
      <x:c r="F258" s="34" t="n">
        <x:v>100</x:v>
      </x:c>
      <x:c r="G258" s="34"/>
      <x:c r="H258" s="34"/>
      <x:c r="I258" s="34"/>
      <x:c r="J258" s="34"/>
      <x:c r="K258" s="36"/>
      <x:c r="L258" s="22" t="str">
        <x:v>椰皇水</x:v>
      </x:c>
      <x:c r="M258" s="36" t="n">
        <x:v>0.3333</x:v>
      </x:c>
      <x:c r="N258" s="22" t="str">
        <x:v>未匹配</x:v>
      </x:c>
    </x:row>
    <x:row r="259">
      <x:c r="A259" s="22" t="str">
        <x:v>饮品</x:v>
      </x:c>
      <x:c r="B259" s="22" t="str">
        <x:v>满杯凤梨</x:v>
      </x:c>
      <x:c r="C259" s="22" t="str">
        <x:v>凤梨果肉</x:v>
      </x:c>
      <x:c r="D259" s="34" t="n">
        <x:v>30</x:v>
      </x:c>
      <x:c r="E259" s="34" t="n">
        <x:v>42</x:v>
      </x:c>
      <x:c r="F259" s="34" t="n">
        <x:v>71.42857142857143</x:v>
      </x:c>
      <x:c r="G259" s="34" t="n">
        <x:v>12</x:v>
      </x:c>
      <x:c r="H259" s="34" t="n">
        <x:v>1</x:v>
      </x:c>
      <x:c r="I259" s="34" t="n">
        <x:v>4.77</x:v>
      </x:c>
      <x:c r="J259" s="34" t="n">
        <x:v>22</x:v>
      </x:c>
      <x:c r="K259" s="36" t="n">
        <x:v>78.31</x:v>
      </x:c>
      <x:c r="L259" s="22" t="str">
        <x:v>猪肉饼</x:v>
      </x:c>
      <x:c r="M259" s="36" t="n">
        <x:v>0.2857</x:v>
      </x:c>
      <x:c r="N259" s="22" t="str">
        <x:v>未匹配</x:v>
      </x:c>
    </x:row>
    <x:row r="260">
      <x:c r="A260" s="22" t="str">
        <x:v>饮品</x:v>
      </x:c>
      <x:c r="B260" s="22" t="str">
        <x:v>满杯凤梨</x:v>
      </x:c>
      <x:c r="C260" s="22" t="str">
        <x:v>凤梨片</x:v>
      </x:c>
      <x:c r="D260" s="34" t="n">
        <x:v>80</x:v>
      </x:c>
      <x:c r="E260" s="34" t="n">
        <x:v>112</x:v>
      </x:c>
      <x:c r="F260" s="34" t="n">
        <x:v>71.42857142857142</x:v>
      </x:c>
      <x:c r="G260" s="34" t="n">
        <x:v>12</x:v>
      </x:c>
      <x:c r="H260" s="34" t="n">
        <x:v>2.7</x:v>
      </x:c>
      <x:c r="I260" s="34"/>
      <x:c r="J260" s="34"/>
      <x:c r="K260" s="36"/>
      <x:c r="L260" s="22" t="str">
        <x:v>鲷鱼片</x:v>
      </x:c>
      <x:c r="M260" s="36" t="n">
        <x:v>0.3333</x:v>
      </x:c>
      <x:c r="N260" s="22" t="str">
        <x:v>未匹配</x:v>
      </x:c>
    </x:row>
    <x:row r="261">
      <x:c r="A261" s="22" t="str">
        <x:v>饮品</x:v>
      </x:c>
      <x:c r="B261" s="22" t="str">
        <x:v>满杯凤梨</x:v>
      </x:c>
      <x:c r="C261" s="22" t="str">
        <x:v>凤梨果酱</x:v>
      </x:c>
      <x:c r="D261" s="34" t="n">
        <x:v>40</x:v>
      </x:c>
      <x:c r="E261" s="34" t="n">
        <x:v>41</x:v>
      </x:c>
      <x:c r="F261" s="34" t="n">
        <x:v>97.5609756097561</x:v>
      </x:c>
      <x:c r="G261" s="34" t="n">
        <x:v>6.34</x:v>
      </x:c>
      <x:c r="H261" s="34" t="n">
        <x:v>0.52</x:v>
      </x:c>
      <x:c r="I261" s="34"/>
      <x:c r="J261" s="34"/>
      <x:c r="K261" s="36"/>
      <x:c r="L261" s="22" t="str">
        <x:v>开心果酱</x:v>
      </x:c>
      <x:c r="M261" s="36" t="n">
        <x:v>0.5</x:v>
      </x:c>
      <x:c r="N261" s="22" t="str">
        <x:v>未匹配</x:v>
      </x:c>
    </x:row>
    <x:row r="262">
      <x:c r="A262" s="22" t="str">
        <x:v>饮品</x:v>
      </x:c>
      <x:c r="B262" s="22" t="str">
        <x:v>满杯凤梨</x:v>
      </x:c>
      <x:c r="C262" s="22" t="str">
        <x:v>冰块170</x:v>
      </x:c>
      <x:c r="D262" s="34" t="n">
        <x:v>10</x:v>
      </x:c>
      <x:c r="E262" s="34" t="n">
        <x:v>10</x:v>
      </x:c>
      <x:c r="F262" s="34" t="n">
        <x:v>100</x:v>
      </x:c>
      <x:c r="G262" s="34"/>
      <x:c r="H262" s="34"/>
      <x:c r="I262" s="34"/>
      <x:c r="J262" s="34"/>
      <x:c r="K262" s="36"/>
      <x:c r="L262" s="22" t="str">
        <x:v>饵块</x:v>
      </x:c>
      <x:c r="M262" s="36" t="n">
        <x:v>0.2857</x:v>
      </x:c>
      <x:c r="N262" s="22" t="str">
        <x:v>未匹配</x:v>
      </x:c>
    </x:row>
    <x:row r="263">
      <x:c r="A263" s="22" t="str">
        <x:v>饮品</x:v>
      </x:c>
      <x:c r="B263" s="22" t="str">
        <x:v>满杯凤梨</x:v>
      </x:c>
      <x:c r="C263" s="22" t="str">
        <x:v>冰淇球</x:v>
      </x:c>
      <x:c r="D263" s="34" t="n">
        <x:v>25</x:v>
      </x:c>
      <x:c r="E263" s="34" t="n">
        <x:v>25</x:v>
      </x:c>
      <x:c r="F263" s="34" t="n">
        <x:v>100</x:v>
      </x:c>
      <x:c r="G263" s="34" t="n">
        <x:v>10.84</x:v>
      </x:c>
      <x:c r="H263" s="34" t="n">
        <x:v>0.55</x:v>
      </x:c>
      <x:c r="I263" s="34"/>
      <x:c r="J263" s="34"/>
      <x:c r="K263" s="36"/>
      <x:c r="L263" s="22" t="str">
        <x:v>绣球菌</x:v>
      </x:c>
      <x:c r="M263" s="36" t="n">
        <x:v>0.3333</x:v>
      </x:c>
      <x:c r="N263" s="22" t="str">
        <x:v>未匹配</x:v>
      </x:c>
    </x:row>
    <x:row r="264">
      <x:c r="A264" s="22" t="str">
        <x:v>饮品</x:v>
      </x:c>
      <x:c r="B264" s="22" t="str">
        <x:v>满杯凤梨</x:v>
      </x:c>
      <x:c r="C264" s="22" t="str">
        <x:v>薄荷</x:v>
      </x:c>
      <x:c r="D264" s="34" t="n">
        <x:v>1</x:v>
      </x:c>
      <x:c r="E264" s="34" t="n">
        <x:v>1</x:v>
      </x:c>
      <x:c r="F264" s="34" t="n">
        <x:v>100</x:v>
      </x:c>
      <x:c r="G264" s="34" t="n">
        <x:v>12</x:v>
      </x:c>
      <x:c r="H264" s="34"/>
      <x:c r="I264" s="34"/>
      <x:c r="J264" s="34"/>
      <x:c r="K264" s="36"/>
      <x:c r="L264" s="22" t="str">
        <x:v>龙爪菇</x:v>
      </x:c>
      <x:c r="M264" s="36" t="n">
        <x:v>0</x:v>
      </x:c>
      <x:c r="N264" s="22" t="str">
        <x:v>未匹配</x:v>
      </x:c>
    </x:row>
    <x:row r="265">
      <x:c r="A265" s="22" t="str">
        <x:v>饮品</x:v>
      </x:c>
      <x:c r="B265" s="22" t="str">
        <x:v>蓝莓浆浆</x:v>
      </x:c>
      <x:c r="C265" s="22" t="str">
        <x:v>蓝莓</x:v>
      </x:c>
      <x:c r="D265" s="34" t="n">
        <x:v>20</x:v>
      </x:c>
      <x:c r="E265" s="34" t="n">
        <x:v>20</x:v>
      </x:c>
      <x:c r="F265" s="34" t="n">
        <x:v>100</x:v>
      </x:c>
      <x:c r="G265" s="34" t="n">
        <x:v>25</x:v>
      </x:c>
      <x:c r="H265" s="34" t="n">
        <x:v>1</x:v>
      </x:c>
      <x:c r="I265" s="34" t="n">
        <x:v>3.57</x:v>
      </x:c>
      <x:c r="J265" s="34" t="n">
        <x:v>22</x:v>
      </x:c>
      <x:c r="K265" s="36" t="n">
        <x:v>83.77</x:v>
      </x:c>
      <x:c r="L265" s="22" t="str">
        <x:v>羽衣甘蓝果汁包</x:v>
      </x:c>
      <x:c r="M265" s="36" t="n">
        <x:v>0.2222</x:v>
      </x:c>
      <x:c r="N265" s="22" t="str">
        <x:v>未匹配</x:v>
      </x:c>
    </x:row>
    <x:row r="266">
      <x:c r="A266" s="22" t="str">
        <x:v>饮品</x:v>
      </x:c>
      <x:c r="B266" s="22" t="str">
        <x:v>蓝莓浆浆</x:v>
      </x:c>
      <x:c r="C266" s="22" t="str">
        <x:v>蓝莓装饰</x:v>
      </x:c>
      <x:c r="D266" s="34" t="n">
        <x:v>30</x:v>
      </x:c>
      <x:c r="E266" s="34" t="n">
        <x:v>30</x:v>
      </x:c>
      <x:c r="F266" s="34" t="n">
        <x:v>100</x:v>
      </x:c>
      <x:c r="G266" s="34" t="n">
        <x:v>25</x:v>
      </x:c>
      <x:c r="H266" s="34" t="n">
        <x:v>1.5</x:v>
      </x:c>
      <x:c r="I266" s="34"/>
      <x:c r="J266" s="34"/>
      <x:c r="K266" s="36"/>
      <x:c r="L266" s="22" t="str">
        <x:v>罐装乌苏</x:v>
      </x:c>
      <x:c r="M266" s="36" t="n">
        <x:v>0.25</x:v>
      </x:c>
      <x:c r="N266" s="22" t="str">
        <x:v>未匹配</x:v>
      </x:c>
    </x:row>
    <x:row r="267">
      <x:c r="A267" s="22" t="str">
        <x:v>饮品</x:v>
      </x:c>
      <x:c r="B267" s="22" t="str">
        <x:v>蓝莓浆浆</x:v>
      </x:c>
      <x:c r="C267" s="22" t="str">
        <x:v>蓝莓果酱</x:v>
      </x:c>
      <x:c r="D267" s="34" t="n">
        <x:v>40</x:v>
      </x:c>
      <x:c r="E267" s="34" t="n">
        <x:v>41</x:v>
      </x:c>
      <x:c r="F267" s="34" t="n">
        <x:v>97.5609756097561</x:v>
      </x:c>
      <x:c r="G267" s="34" t="n">
        <x:v>6.34</x:v>
      </x:c>
      <x:c r="H267" s="34" t="n">
        <x:v>0.52</x:v>
      </x:c>
      <x:c r="I267" s="34"/>
      <x:c r="J267" s="34"/>
      <x:c r="K267" s="36"/>
      <x:c r="L267" s="22" t="str">
        <x:v>开心果酱</x:v>
      </x:c>
      <x:c r="M267" s="36" t="n">
        <x:v>0.5</x:v>
      </x:c>
      <x:c r="N267" s="22" t="str">
        <x:v>未匹配</x:v>
      </x:c>
    </x:row>
    <x:row r="268">
      <x:c r="A268" s="22" t="str">
        <x:v>饮品</x:v>
      </x:c>
      <x:c r="B268" s="22" t="str">
        <x:v>蓝莓浆浆</x:v>
      </x:c>
      <x:c r="C268" s="22" t="str">
        <x:v>冰块170g</x:v>
      </x:c>
      <x:c r="D268" s="34" t="n">
        <x:v>170</x:v>
      </x:c>
      <x:c r="E268" s="34" t="n">
        <x:v>170</x:v>
      </x:c>
      <x:c r="F268" s="34" t="n">
        <x:v>100</x:v>
      </x:c>
      <x:c r="G268" s="34"/>
      <x:c r="H268" s="34"/>
      <x:c r="I268" s="34"/>
      <x:c r="J268" s="34"/>
      <x:c r="K268" s="36"/>
      <x:c r="L268" s="22" t="str">
        <x:v>饵块</x:v>
      </x:c>
      <x:c r="M268" s="36" t="n">
        <x:v>0.25</x:v>
      </x:c>
      <x:c r="N268" s="22" t="str">
        <x:v>未匹配</x:v>
      </x:c>
    </x:row>
    <x:row r="269">
      <x:c r="A269" s="22" t="str">
        <x:v>饮品</x:v>
      </x:c>
      <x:c r="B269" s="22" t="str">
        <x:v>蓝莓浆浆</x:v>
      </x:c>
      <x:c r="C269" s="22" t="str">
        <x:v>冰淇淋球</x:v>
      </x:c>
      <x:c r="D269" s="34" t="n">
        <x:v>25</x:v>
      </x:c>
      <x:c r="E269" s="34" t="n">
        <x:v>25</x:v>
      </x:c>
      <x:c r="F269" s="34" t="n">
        <x:v>100</x:v>
      </x:c>
      <x:c r="G269" s="34" t="n">
        <x:v>10.84</x:v>
      </x:c>
      <x:c r="H269" s="34" t="n">
        <x:v>0.55</x:v>
      </x:c>
      <x:c r="I269" s="34"/>
      <x:c r="J269" s="34"/>
      <x:c r="K269" s="36"/>
      <x:c r="L269" s="22" t="str">
        <x:v>绣球菌</x:v>
      </x:c>
      <x:c r="M269" s="36" t="n">
        <x:v>0.2857</x:v>
      </x:c>
      <x:c r="N269" s="22" t="str">
        <x:v>未匹配</x:v>
      </x:c>
    </x:row>
    <x:row r="270">
      <x:c r="A270" s="22" t="str">
        <x:v>饮品</x:v>
      </x:c>
      <x:c r="B270" s="22" t="str">
        <x:v>蓝莓浆浆</x:v>
      </x:c>
      <x:c r="C270" s="22" t="str">
        <x:v>薄荷一朵</x:v>
      </x:c>
      <x:c r="D270" s="34"/>
      <x:c r="E270" s="34"/>
      <x:c r="F270" s="34"/>
      <x:c r="G270" s="34"/>
      <x:c r="H270" s="34"/>
      <x:c r="I270" s="34"/>
      <x:c r="J270" s="34"/>
      <x:c r="K270" s="36"/>
      <x:c r="L270" s="22" t="str">
        <x:v>龙爪菇</x:v>
      </x:c>
      <x:c r="M270" s="36" t="n">
        <x:v>0</x:v>
      </x:c>
      <x:c r="N270" s="22" t="str">
        <x:v>未匹配</x:v>
      </x:c>
    </x:row>
    <x:row r="271">
      <x:c r="A271" s="22" t="str">
        <x:v>饮品</x:v>
      </x:c>
      <x:c r="B271" s="22" t="str">
        <x:v>白里透红</x:v>
      </x:c>
      <x:c r="C271" s="22" t="str">
        <x:v>芭乐</x:v>
      </x:c>
      <x:c r="D271" s="34" t="n">
        <x:v>30</x:v>
      </x:c>
      <x:c r="E271" s="34" t="n">
        <x:v>30</x:v>
      </x:c>
      <x:c r="F271" s="34" t="n">
        <x:v>100</x:v>
      </x:c>
      <x:c r="G271" s="34" t="n">
        <x:v>10</x:v>
      </x:c>
      <x:c r="H271" s="34" t="n">
        <x:v>0.6</x:v>
      </x:c>
      <x:c r="I271" s="34" t="n">
        <x:v>5</x:v>
      </x:c>
      <x:c r="J271" s="34" t="n">
        <x:v>22</x:v>
      </x:c>
      <x:c r="K271" s="36" t="n">
        <x:v>77.27</x:v>
      </x:c>
      <x:c r="L271" s="22" t="str">
        <x:v>甄选芭乐果茸</x:v>
      </x:c>
      <x:c r="M271" s="36" t="n">
        <x:v>0.8067</x:v>
      </x:c>
      <x:c r="N271" s="22" t="str">
        <x:v>可能匹配待确认</x:v>
      </x:c>
    </x:row>
    <x:row r="272">
      <x:c r="A272" s="22" t="str">
        <x:v>饮品</x:v>
      </x:c>
      <x:c r="B272" s="22" t="str">
        <x:v>白里透红</x:v>
      </x:c>
      <x:c r="C272" s="22" t="str">
        <x:v>芭乐片6片</x:v>
      </x:c>
      <x:c r="D272" s="34" t="n">
        <x:v>20</x:v>
      </x:c>
      <x:c r="E272" s="34" t="n">
        <x:v>20</x:v>
      </x:c>
      <x:c r="F272" s="34" t="n">
        <x:v>100</x:v>
      </x:c>
      <x:c r="G272" s="34" t="n">
        <x:v>10</x:v>
      </x:c>
      <x:c r="H272" s="34" t="n">
        <x:v>0.4</x:v>
      </x:c>
      <x:c r="I272" s="34"/>
      <x:c r="J272" s="34"/>
      <x:c r="K272" s="36"/>
      <x:c r="L272" s="22" t="str">
        <x:v>甄选芭乐果茸</x:v>
      </x:c>
      <x:c r="M272" s="36" t="n">
        <x:v>0.3636</x:v>
      </x:c>
      <x:c r="N272" s="22" t="str">
        <x:v>未匹配</x:v>
      </x:c>
    </x:row>
    <x:row r="273">
      <x:c r="A273" s="22" t="str">
        <x:v>饮品</x:v>
      </x:c>
      <x:c r="B273" s="22" t="str">
        <x:v>白里透红</x:v>
      </x:c>
      <x:c r="C273" s="22" t="str">
        <x:v>芭乐果浆</x:v>
      </x:c>
      <x:c r="D273" s="34" t="n">
        <x:v>40</x:v>
      </x:c>
      <x:c r="E273" s="34" t="n">
        <x:v>41.5</x:v>
      </x:c>
      <x:c r="F273" s="34" t="n">
        <x:v>96.3855421686747</x:v>
      </x:c>
      <x:c r="G273" s="34" t="n">
        <x:v>39.6</x:v>
      </x:c>
      <x:c r="H273" s="34" t="n">
        <x:v>3.29</x:v>
      </x:c>
      <x:c r="I273" s="34"/>
      <x:c r="J273" s="34"/>
      <x:c r="K273" s="36"/>
      <x:c r="L273" s="22" t="str">
        <x:v>甄选芭乐果茸</x:v>
      </x:c>
      <x:c r="M273" s="36" t="n">
        <x:v>0.6</x:v>
      </x:c>
      <x:c r="N273" s="22" t="str">
        <x:v>未匹配</x:v>
      </x:c>
    </x:row>
    <x:row r="274">
      <x:c r="A274" s="22" t="str">
        <x:v>饮品</x:v>
      </x:c>
      <x:c r="B274" s="22" t="str">
        <x:v>白里透红</x:v>
      </x:c>
      <x:c r="C274" s="22" t="str">
        <x:v>水10ml</x:v>
      </x:c>
      <x:c r="D274" s="34"/>
      <x:c r="E274" s="34"/>
      <x:c r="F274" s="34"/>
      <x:c r="G274" s="34"/>
      <x:c r="H274" s="34"/>
      <x:c r="I274" s="34"/>
      <x:c r="J274" s="34"/>
      <x:c r="K274" s="36"/>
      <x:c r="L274" s="22" t="str">
        <x:v>椰皇水</x:v>
      </x:c>
      <x:c r="M274" s="36" t="n">
        <x:v>0.25</x:v>
      </x:c>
      <x:c r="N274" s="22" t="str">
        <x:v>未匹配</x:v>
      </x:c>
    </x:row>
    <x:row r="275">
      <x:c r="A275" s="22" t="str">
        <x:v>饮品</x:v>
      </x:c>
      <x:c r="B275" s="22" t="str">
        <x:v>白里透红</x:v>
      </x:c>
      <x:c r="C275" s="22" t="str">
        <x:v>糖浆</x:v>
      </x:c>
      <x:c r="D275" s="34" t="n">
        <x:v>10</x:v>
      </x:c>
      <x:c r="E275" s="34" t="n">
        <x:v>10.5</x:v>
      </x:c>
      <x:c r="F275" s="34" t="n">
        <x:v>95.23809523809524</x:v>
      </x:c>
      <x:c r="G275" s="34" t="n">
        <x:v>9.59</x:v>
      </x:c>
      <x:c r="H275" s="34" t="n">
        <x:v>0.2</x:v>
      </x:c>
      <x:c r="I275" s="34"/>
      <x:c r="J275" s="34"/>
      <x:c r="K275" s="36"/>
      <x:c r="L275" s="22" t="str">
        <x:v>竹蔗风味糖浆</x:v>
      </x:c>
      <x:c r="M275" s="36" t="n">
        <x:v>0.8067</x:v>
      </x:c>
      <x:c r="N275" s="22" t="str">
        <x:v>可能匹配待确认</x:v>
      </x:c>
    </x:row>
    <x:row r="276">
      <x:c r="A276" s="22" t="str">
        <x:v>饮品</x:v>
      </x:c>
      <x:c r="B276" s="22" t="str">
        <x:v>白里透红</x:v>
      </x:c>
      <x:c r="C276" s="22" t="str">
        <x:v>冰块170g</x:v>
      </x:c>
      <x:c r="D276" s="34"/>
      <x:c r="E276" s="34"/>
      <x:c r="F276" s="34"/>
      <x:c r="G276" s="34"/>
      <x:c r="H276" s="34"/>
      <x:c r="I276" s="34"/>
      <x:c r="J276" s="34"/>
      <x:c r="K276" s="36"/>
      <x:c r="L276" s="22" t="str">
        <x:v>饵块</x:v>
      </x:c>
      <x:c r="M276" s="36" t="n">
        <x:v>0.25</x:v>
      </x:c>
      <x:c r="N276" s="22" t="str">
        <x:v>未匹配</x:v>
      </x:c>
    </x:row>
    <x:row r="277">
      <x:c r="A277" s="22" t="str">
        <x:v>饮品</x:v>
      </x:c>
      <x:c r="B277" s="22" t="str">
        <x:v>白里透红</x:v>
      </x:c>
      <x:c r="C277" s="22" t="str">
        <x:v>冰淇淋球</x:v>
      </x:c>
      <x:c r="D277" s="34" t="n">
        <x:v>25</x:v>
      </x:c>
      <x:c r="E277" s="34" t="n">
        <x:v>25</x:v>
      </x:c>
      <x:c r="F277" s="34" t="n">
        <x:v>100</x:v>
      </x:c>
      <x:c r="G277" s="34" t="n">
        <x:v>10.84</x:v>
      </x:c>
      <x:c r="H277" s="34" t="n">
        <x:v>0.55</x:v>
      </x:c>
      <x:c r="I277" s="34"/>
      <x:c r="J277" s="34"/>
      <x:c r="K277" s="36"/>
      <x:c r="L277" s="22" t="str">
        <x:v>绣球菌</x:v>
      </x:c>
      <x:c r="M277" s="36" t="n">
        <x:v>0.2857</x:v>
      </x:c>
      <x:c r="N277" s="22" t="str">
        <x:v>未匹配</x:v>
      </x:c>
    </x:row>
    <x:row r="278">
      <x:c r="A278" s="22" t="str">
        <x:v>饮品</x:v>
      </x:c>
      <x:c r="B278" s="22" t="str">
        <x:v>白里透红</x:v>
      </x:c>
      <x:c r="C278" s="22" t="str">
        <x:v>薄荷一朵</x:v>
      </x:c>
      <x:c r="D278" s="34"/>
      <x:c r="E278" s="34"/>
      <x:c r="F278" s="34"/>
      <x:c r="G278" s="34"/>
      <x:c r="H278" s="34"/>
      <x:c r="I278" s="34"/>
      <x:c r="J278" s="34"/>
      <x:c r="K278" s="36"/>
      <x:c r="L278" s="22" t="str">
        <x:v>龙爪菇</x:v>
      </x:c>
      <x:c r="M278" s="36" t="n">
        <x:v>0</x:v>
      </x:c>
      <x:c r="N278" s="22" t="str">
        <x:v>未匹配</x:v>
      </x:c>
    </x:row>
    <x:row r="279">
      <x:c r="A279" s="22" t="str">
        <x:v>饮品</x:v>
      </x:c>
      <x:c r="B279" s="22" t="str">
        <x:v>芒芒雪酪</x:v>
      </x:c>
      <x:c r="C279" s="22" t="str">
        <x:v>芒果果肉</x:v>
      </x:c>
      <x:c r="D279" s="34" t="n">
        <x:v>30</x:v>
      </x:c>
      <x:c r="E279" s="34" t="n">
        <x:v>37</x:v>
      </x:c>
      <x:c r="F279" s="34" t="n">
        <x:v>81.08108108108108</x:v>
      </x:c>
      <x:c r="G279" s="34" t="n">
        <x:v>8</x:v>
      </x:c>
      <x:c r="H279" s="34" t="n">
        <x:v>0.6</x:v>
      </x:c>
      <x:c r="I279" s="34" t="n">
        <x:v>3.25</x:v>
      </x:c>
      <x:c r="J279" s="34" t="n">
        <x:v>22</x:v>
      </x:c>
      <x:c r="K279" s="36" t="n">
        <x:v>85.22</x:v>
      </x:c>
      <x:c r="L279" s="22" t="str">
        <x:v>冷冻芒果原浆</x:v>
      </x:c>
      <x:c r="M279" s="36" t="n">
        <x:v>0.4</x:v>
      </x:c>
      <x:c r="N279" s="22" t="str">
        <x:v>未匹配</x:v>
      </x:c>
    </x:row>
    <x:row r="280">
      <x:c r="A280" s="22" t="str">
        <x:v>饮品</x:v>
      </x:c>
      <x:c r="B280" s="22" t="str">
        <x:v>芒芒雪酪</x:v>
      </x:c>
      <x:c r="C280" s="22" t="str">
        <x:v>芒果片5片</x:v>
      </x:c>
      <x:c r="D280" s="34" t="n">
        <x:v>70</x:v>
      </x:c>
      <x:c r="E280" s="34" t="n">
        <x:v>86</x:v>
      </x:c>
      <x:c r="F280" s="34" t="n">
        <x:v>81.3953488372093</x:v>
      </x:c>
      <x:c r="G280" s="34" t="n">
        <x:v>8</x:v>
      </x:c>
      <x:c r="H280" s="34" t="n">
        <x:v>1.38</x:v>
      </x:c>
      <x:c r="I280" s="34"/>
      <x:c r="J280" s="34"/>
      <x:c r="K280" s="36"/>
      <x:c r="L280" s="22" t="str">
        <x:v>冷冻芒果原浆</x:v>
      </x:c>
      <x:c r="M280" s="36" t="n">
        <x:v>0.3636</x:v>
      </x:c>
      <x:c r="N280" s="22" t="str">
        <x:v>未匹配</x:v>
      </x:c>
    </x:row>
    <x:row r="281">
      <x:c r="A281" s="22" t="str">
        <x:v>饮品</x:v>
      </x:c>
      <x:c r="B281" s="22" t="str">
        <x:v>芒芒雪酪</x:v>
      </x:c>
      <x:c r="C281" s="22" t="str">
        <x:v>芒果果酱4</x:v>
      </x:c>
      <x:c r="D281" s="34" t="n">
        <x:v>40</x:v>
      </x:c>
      <x:c r="E281" s="34" t="n">
        <x:v>41</x:v>
      </x:c>
      <x:c r="F281" s="34" t="n">
        <x:v>97.5609756097561</x:v>
      </x:c>
      <x:c r="G281" s="34" t="n">
        <x:v>6.34</x:v>
      </x:c>
      <x:c r="H281" s="34" t="n">
        <x:v>0.52</x:v>
      </x:c>
      <x:c r="I281" s="34"/>
      <x:c r="J281" s="34"/>
      <x:c r="K281" s="36"/>
      <x:c r="L281" s="22" t="str">
        <x:v>开心果酱</x:v>
      </x:c>
      <x:c r="M281" s="36" t="n">
        <x:v>0.4444</x:v>
      </x:c>
      <x:c r="N281" s="22" t="str">
        <x:v>未匹配</x:v>
      </x:c>
    </x:row>
    <x:row r="282">
      <x:c r="A282" s="22" t="str">
        <x:v>饮品</x:v>
      </x:c>
      <x:c r="B282" s="22" t="str">
        <x:v>芒芒雪酪</x:v>
      </x:c>
      <x:c r="C282" s="22" t="str">
        <x:v>水10ml</x:v>
      </x:c>
      <x:c r="D282" s="34"/>
      <x:c r="E282" s="34"/>
      <x:c r="F282" s="34"/>
      <x:c r="G282" s="34"/>
      <x:c r="H282" s="34"/>
      <x:c r="I282" s="34"/>
      <x:c r="J282" s="34"/>
      <x:c r="K282" s="36"/>
      <x:c r="L282" s="22" t="str">
        <x:v>椰皇水</x:v>
      </x:c>
      <x:c r="M282" s="36" t="n">
        <x:v>0.25</x:v>
      </x:c>
      <x:c r="N282" s="22" t="str">
        <x:v>未匹配</x:v>
      </x:c>
    </x:row>
    <x:row r="283">
      <x:c r="A283" s="22" t="str">
        <x:v>饮品</x:v>
      </x:c>
      <x:c r="B283" s="22" t="str">
        <x:v>芒芒雪酪</x:v>
      </x:c>
      <x:c r="C283" s="22" t="str">
        <x:v>糖浆</x:v>
      </x:c>
      <x:c r="D283" s="34" t="n">
        <x:v>10</x:v>
      </x:c>
      <x:c r="E283" s="34" t="n">
        <x:v>10.5</x:v>
      </x:c>
      <x:c r="F283" s="34" t="n">
        <x:v>95.23809523809524</x:v>
      </x:c>
      <x:c r="G283" s="34" t="n">
        <x:v>9.59</x:v>
      </x:c>
      <x:c r="H283" s="34" t="n">
        <x:v>0.2</x:v>
      </x:c>
      <x:c r="I283" s="34"/>
      <x:c r="J283" s="34"/>
      <x:c r="K283" s="36"/>
      <x:c r="L283" s="22" t="str">
        <x:v>竹蔗风味糖浆</x:v>
      </x:c>
      <x:c r="M283" s="36" t="n">
        <x:v>0.8067</x:v>
      </x:c>
      <x:c r="N283" s="22" t="str">
        <x:v>可能匹配待确认</x:v>
      </x:c>
    </x:row>
    <x:row r="284">
      <x:c r="A284" s="22" t="str">
        <x:v>饮品</x:v>
      </x:c>
      <x:c r="B284" s="22" t="str">
        <x:v>芒芒雪酪</x:v>
      </x:c>
      <x:c r="C284" s="22" t="str">
        <x:v>冰块</x:v>
      </x:c>
      <x:c r="D284" s="34" t="n">
        <x:v>170</x:v>
      </x:c>
      <x:c r="E284" s="34"/>
      <x:c r="F284" s="34"/>
      <x:c r="G284" s="34"/>
      <x:c r="H284" s="34"/>
      <x:c r="I284" s="34"/>
      <x:c r="J284" s="34"/>
      <x:c r="K284" s="36"/>
      <x:c r="L284" s="22" t="str">
        <x:v>饵块</x:v>
      </x:c>
      <x:c r="M284" s="36" t="n">
        <x:v>0.5</x:v>
      </x:c>
      <x:c r="N284" s="22" t="str">
        <x:v>未匹配</x:v>
      </x:c>
    </x:row>
    <x:row r="285">
      <x:c r="A285" s="22" t="str">
        <x:v>饮品</x:v>
      </x:c>
      <x:c r="B285" s="22" t="str">
        <x:v>芒芒雪酪</x:v>
      </x:c>
      <x:c r="C285" s="22" t="str">
        <x:v>冰淇淋球</x:v>
      </x:c>
      <x:c r="D285" s="34" t="n">
        <x:v>25</x:v>
      </x:c>
      <x:c r="E285" s="34" t="n">
        <x:v>25</x:v>
      </x:c>
      <x:c r="F285" s="34" t="n">
        <x:v>100</x:v>
      </x:c>
      <x:c r="G285" s="34" t="n">
        <x:v>10.84</x:v>
      </x:c>
      <x:c r="H285" s="34" t="n">
        <x:v>0.55</x:v>
      </x:c>
      <x:c r="I285" s="34"/>
      <x:c r="J285" s="34"/>
      <x:c r="K285" s="36"/>
      <x:c r="L285" s="22" t="str">
        <x:v>绣球菌</x:v>
      </x:c>
      <x:c r="M285" s="36" t="n">
        <x:v>0.2857</x:v>
      </x:c>
      <x:c r="N285" s="22" t="str">
        <x:v>未匹配</x:v>
      </x:c>
    </x:row>
    <x:row r="286">
      <x:c r="A286" s="22" t="str">
        <x:v>饮品</x:v>
      </x:c>
      <x:c r="B286" s="22" t="str">
        <x:v>芒芒雪酪</x:v>
      </x:c>
      <x:c r="C286" s="22" t="str">
        <x:v>薄荷一朵</x:v>
      </x:c>
      <x:c r="D286" s="34"/>
      <x:c r="E286" s="34"/>
      <x:c r="F286" s="34"/>
      <x:c r="G286" s="34"/>
      <x:c r="H286" s="34"/>
      <x:c r="I286" s="34"/>
      <x:c r="J286" s="34"/>
      <x:c r="K286" s="36"/>
      <x:c r="L286" s="22" t="str">
        <x:v>龙爪菇</x:v>
      </x:c>
      <x:c r="M286" s="36" t="n">
        <x:v>0</x:v>
      </x:c>
      <x:c r="N286" s="22" t="str">
        <x:v>未匹配</x:v>
      </x:c>
    </x:row>
    <x:row r="287">
      <x:c r="A287" s="22" t="str">
        <x:v>饮品</x:v>
      </x:c>
      <x:c r="B287" s="22" t="str">
        <x:v>维C大满足</x:v>
      </x:c>
      <x:c r="C287" s="22" t="str">
        <x:v>奇异果肉</x:v>
      </x:c>
      <x:c r="D287" s="34" t="n">
        <x:v>30</x:v>
      </x:c>
      <x:c r="E287" s="34" t="n">
        <x:v>33</x:v>
      </x:c>
      <x:c r="F287" s="34" t="n">
        <x:v>90.9090909090909</x:v>
      </x:c>
      <x:c r="G287" s="34" t="n">
        <x:v>10</x:v>
      </x:c>
      <x:c r="H287" s="34" t="n">
        <x:v>0.66</x:v>
      </x:c>
      <x:c r="I287" s="34" t="n">
        <x:v>3</x:v>
      </x:c>
      <x:c r="J287" s="34" t="n">
        <x:v>22</x:v>
      </x:c>
      <x:c r="K287" s="36" t="n">
        <x:v>86.36</x:v>
      </x:c>
      <x:c r="L287" s="22" t="str">
        <x:v>甄选奇异果果茸</x:v>
      </x:c>
      <x:c r="M287" s="36" t="n">
        <x:v>0.5455</x:v>
      </x:c>
      <x:c r="N287" s="22" t="str">
        <x:v>未匹配</x:v>
      </x:c>
    </x:row>
    <x:row r="288">
      <x:c r="A288" s="22" t="str">
        <x:v>饮品</x:v>
      </x:c>
      <x:c r="B288" s="22" t="str">
        <x:v>维C大满足</x:v>
      </x:c>
      <x:c r="C288" s="22" t="str">
        <x:v>奇异果片（5片）</x:v>
      </x:c>
      <x:c r="D288" s="34" t="n">
        <x:v>50</x:v>
      </x:c>
      <x:c r="E288" s="34" t="n">
        <x:v>55</x:v>
      </x:c>
      <x:c r="F288" s="34" t="n">
        <x:v>90.9090909090909</x:v>
      </x:c>
      <x:c r="G288" s="34" t="n">
        <x:v>10</x:v>
      </x:c>
      <x:c r="H288" s="34" t="n">
        <x:v>1.1</x:v>
      </x:c>
      <x:c r="I288" s="34"/>
      <x:c r="J288" s="34"/>
      <x:c r="K288" s="36"/>
      <x:c r="L288" s="22" t="str">
        <x:v>甄选奇异果果茸</x:v>
      </x:c>
      <x:c r="M288" s="36" t="n">
        <x:v>0.4615</x:v>
      </x:c>
      <x:c r="N288" s="22" t="str">
        <x:v>未匹配</x:v>
      </x:c>
    </x:row>
    <x:row r="289">
      <x:c r="A289" s="22" t="str">
        <x:v>饮品</x:v>
      </x:c>
      <x:c r="B289" s="22" t="str">
        <x:v>维C大满足</x:v>
      </x:c>
      <x:c r="C289" s="22" t="str">
        <x:v>奇异果酱</x:v>
      </x:c>
      <x:c r="D289" s="34" t="n">
        <x:v>40</x:v>
      </x:c>
      <x:c r="E289" s="34" t="n">
        <x:v>41</x:v>
      </x:c>
      <x:c r="F289" s="34" t="n">
        <x:v>97.5609756097561</x:v>
      </x:c>
      <x:c r="G289" s="34" t="n">
        <x:v>6.34</x:v>
      </x:c>
      <x:c r="H289" s="34" t="n">
        <x:v>0.52</x:v>
      </x:c>
      <x:c r="I289" s="34"/>
      <x:c r="J289" s="34"/>
      <x:c r="K289" s="36"/>
      <x:c r="L289" s="22" t="str">
        <x:v>甄选奇异果果茸</x:v>
      </x:c>
      <x:c r="M289" s="36" t="n">
        <x:v>0.5455</x:v>
      </x:c>
      <x:c r="N289" s="22" t="str">
        <x:v>未匹配</x:v>
      </x:c>
    </x:row>
    <x:row r="290">
      <x:c r="A290" s="22" t="str">
        <x:v>饮品</x:v>
      </x:c>
      <x:c r="B290" s="22" t="str">
        <x:v>维C大满足</x:v>
      </x:c>
      <x:c r="C290" s="22" t="str">
        <x:v>水10ml</x:v>
      </x:c>
      <x:c r="D290" s="34"/>
      <x:c r="E290" s="34"/>
      <x:c r="F290" s="34"/>
      <x:c r="G290" s="34"/>
      <x:c r="H290" s="34"/>
      <x:c r="I290" s="34"/>
      <x:c r="J290" s="34"/>
      <x:c r="K290" s="36"/>
      <x:c r="L290" s="22" t="str">
        <x:v>椰皇水</x:v>
      </x:c>
      <x:c r="M290" s="36" t="n">
        <x:v>0.25</x:v>
      </x:c>
      <x:c r="N290" s="22" t="str">
        <x:v>未匹配</x:v>
      </x:c>
    </x:row>
    <x:row r="291">
      <x:c r="A291" s="22" t="str">
        <x:v>饮品</x:v>
      </x:c>
      <x:c r="B291" s="22" t="str">
        <x:v>维C大满足</x:v>
      </x:c>
      <x:c r="C291" s="22" t="str">
        <x:v>糖浆10g</x:v>
      </x:c>
      <x:c r="D291" s="34" t="n">
        <x:v>10</x:v>
      </x:c>
      <x:c r="E291" s="34" t="n">
        <x:v>10.5</x:v>
      </x:c>
      <x:c r="F291" s="34" t="n">
        <x:v>95.23809523809524</x:v>
      </x:c>
      <x:c r="G291" s="34" t="n">
        <x:v>9.59</x:v>
      </x:c>
      <x:c r="H291" s="34" t="n">
        <x:v>0.2</x:v>
      </x:c>
      <x:c r="I291" s="34"/>
      <x:c r="J291" s="34"/>
      <x:c r="K291" s="36"/>
      <x:c r="L291" s="22" t="str">
        <x:v>竹蔗风味糖浆</x:v>
      </x:c>
      <x:c r="M291" s="36" t="n">
        <x:v>0.3636</x:v>
      </x:c>
      <x:c r="N291" s="22" t="str">
        <x:v>未匹配</x:v>
      </x:c>
    </x:row>
    <x:row r="292">
      <x:c r="A292" s="22" t="str">
        <x:v>饮品</x:v>
      </x:c>
      <x:c r="B292" s="22" t="str">
        <x:v>维C大满足</x:v>
      </x:c>
      <x:c r="C292" s="22" t="str">
        <x:v>冰块170g</x:v>
      </x:c>
      <x:c r="D292" s="34"/>
      <x:c r="E292" s="34"/>
      <x:c r="F292" s="34"/>
      <x:c r="G292" s="34"/>
      <x:c r="H292" s="34"/>
      <x:c r="I292" s="34"/>
      <x:c r="J292" s="34"/>
      <x:c r="K292" s="36"/>
      <x:c r="L292" s="22" t="str">
        <x:v>饵块</x:v>
      </x:c>
      <x:c r="M292" s="36" t="n">
        <x:v>0.25</x:v>
      </x:c>
      <x:c r="N292" s="22" t="str">
        <x:v>未匹配</x:v>
      </x:c>
    </x:row>
    <x:row r="293">
      <x:c r="A293" s="22" t="str">
        <x:v>饮品</x:v>
      </x:c>
      <x:c r="B293" s="22" t="str">
        <x:v>维C大满足</x:v>
      </x:c>
      <x:c r="C293" s="22" t="str">
        <x:v>冰淇淋球</x:v>
      </x:c>
      <x:c r="D293" s="34" t="n">
        <x:v>25</x:v>
      </x:c>
      <x:c r="E293" s="34" t="n">
        <x:v>25</x:v>
      </x:c>
      <x:c r="F293" s="34" t="n">
        <x:v>100</x:v>
      </x:c>
      <x:c r="G293" s="34" t="n">
        <x:v>10.84</x:v>
      </x:c>
      <x:c r="H293" s="34" t="n">
        <x:v>0.55</x:v>
      </x:c>
      <x:c r="I293" s="34"/>
      <x:c r="J293" s="34"/>
      <x:c r="K293" s="36"/>
      <x:c r="L293" s="22" t="str">
        <x:v>绣球菌</x:v>
      </x:c>
      <x:c r="M293" s="36" t="n">
        <x:v>0.2857</x:v>
      </x:c>
      <x:c r="N293" s="22" t="str">
        <x:v>未匹配</x:v>
      </x:c>
    </x:row>
    <x:row r="294">
      <x:c r="A294" s="22" t="str">
        <x:v>饮品</x:v>
      </x:c>
      <x:c r="B294" s="22" t="str">
        <x:v>维C大满足</x:v>
      </x:c>
      <x:c r="C294" s="22" t="str">
        <x:v>薄荷一朵</x:v>
      </x:c>
      <x:c r="D294" s="34"/>
      <x:c r="E294" s="34"/>
      <x:c r="F294" s="34"/>
      <x:c r="G294" s="34"/>
      <x:c r="H294" s="34"/>
      <x:c r="I294" s="34"/>
      <x:c r="J294" s="34"/>
      <x:c r="K294" s="36"/>
      <x:c r="L294" s="22" t="str">
        <x:v>龙爪菇</x:v>
      </x:c>
      <x:c r="M294" s="36" t="n">
        <x:v>0</x:v>
      </x:c>
      <x:c r="N294" s="22" t="str">
        <x:v>未匹配</x:v>
      </x:c>
    </x:row>
    <x:row r="295">
      <x:c r="A295" s="22" t="str">
        <x:v>饮品</x:v>
      </x:c>
      <x:c r="B295" s="22" t="str">
        <x:v>秋来好柿</x:v>
      </x:c>
      <x:c r="C295" s="22" t="str">
        <x:v>柿子果肉</x:v>
      </x:c>
      <x:c r="D295" s="34" t="n">
        <x:v>40</x:v>
      </x:c>
      <x:c r="E295" s="34" t="n">
        <x:v>42</x:v>
      </x:c>
      <x:c r="F295" s="34" t="n">
        <x:v>95.23809523809524</x:v>
      </x:c>
      <x:c r="G295" s="34" t="n">
        <x:v>15</x:v>
      </x:c>
      <x:c r="H295" s="34" t="n">
        <x:v>1.27</x:v>
      </x:c>
      <x:c r="I295" s="34" t="n">
        <x:v>3.5</x:v>
      </x:c>
      <x:c r="J295" s="34" t="n">
        <x:v>22</x:v>
      </x:c>
      <x:c r="K295" s="36" t="n">
        <x:v>84</x:v>
      </x:c>
      <x:c r="L295" s="22" t="str">
        <x:v>猪肉饼</x:v>
      </x:c>
      <x:c r="M295" s="36" t="n">
        <x:v>0.2857</x:v>
      </x:c>
      <x:c r="N295" s="22" t="str">
        <x:v>未匹配</x:v>
      </x:c>
    </x:row>
    <x:row r="296">
      <x:c r="A296" s="22" t="str">
        <x:v>饮品</x:v>
      </x:c>
      <x:c r="B296" s="22" t="str">
        <x:v>秋来好柿</x:v>
      </x:c>
      <x:c r="C296" s="22" t="str">
        <x:v>柿子瓣5瓣</x:v>
      </x:c>
      <x:c r="D296" s="34" t="n">
        <x:v>30</x:v>
      </x:c>
      <x:c r="E296" s="34" t="n">
        <x:v>31.5</x:v>
      </x:c>
      <x:c r="F296" s="34" t="n">
        <x:v>95.23809523809524</x:v>
      </x:c>
      <x:c r="G296" s="34" t="n">
        <x:v>15</x:v>
      </x:c>
      <x:c r="H296" s="34" t="n">
        <x:v>1</x:v>
      </x:c>
      <x:c r="I296" s="34"/>
      <x:c r="J296" s="34"/>
      <x:c r="K296" s="36"/>
      <x:c r="L296" s="22" t="str">
        <x:v>滑子菇</x:v>
      </x:c>
      <x:c r="M296" s="36" t="n">
        <x:v>0.25</x:v>
      </x:c>
      <x:c r="N296" s="22" t="str">
        <x:v>未匹配</x:v>
      </x:c>
    </x:row>
    <x:row r="297">
      <x:c r="A297" s="22" t="str">
        <x:v>饮品</x:v>
      </x:c>
      <x:c r="B297" s="22" t="str">
        <x:v>秋来好柿</x:v>
      </x:c>
      <x:c r="C297" s="22" t="str">
        <x:v>糖浆30g</x:v>
      </x:c>
      <x:c r="D297" s="34" t="n">
        <x:v>30</x:v>
      </x:c>
      <x:c r="E297" s="34" t="n">
        <x:v>31.5</x:v>
      </x:c>
      <x:c r="F297" s="34" t="n">
        <x:v>95.23809523809524</x:v>
      </x:c>
      <x:c r="G297" s="34" t="n">
        <x:v>9.59</x:v>
      </x:c>
      <x:c r="H297" s="34" t="n">
        <x:v>0.6</x:v>
      </x:c>
      <x:c r="I297" s="34"/>
      <x:c r="J297" s="34"/>
      <x:c r="K297" s="36"/>
      <x:c r="L297" s="22" t="str">
        <x:v>竹蔗风味糖浆</x:v>
      </x:c>
      <x:c r="M297" s="36" t="n">
        <x:v>0.3636</x:v>
      </x:c>
      <x:c r="N297" s="22" t="str">
        <x:v>未匹配</x:v>
      </x:c>
    </x:row>
    <x:row r="298">
      <x:c r="A298" s="22" t="str">
        <x:v>饮品</x:v>
      </x:c>
      <x:c r="B298" s="22" t="str">
        <x:v>秋来好柿</x:v>
      </x:c>
      <x:c r="C298" s="22" t="str">
        <x:v>冰块170g</x:v>
      </x:c>
      <x:c r="D298" s="34"/>
      <x:c r="E298" s="34"/>
      <x:c r="F298" s="34"/>
      <x:c r="G298" s="34"/>
      <x:c r="H298" s="34"/>
      <x:c r="I298" s="34"/>
      <x:c r="J298" s="34"/>
      <x:c r="K298" s="36"/>
      <x:c r="L298" s="22" t="str">
        <x:v>饵块</x:v>
      </x:c>
      <x:c r="M298" s="36" t="n">
        <x:v>0.25</x:v>
      </x:c>
      <x:c r="N298" s="22" t="str">
        <x:v>未匹配</x:v>
      </x:c>
    </x:row>
    <x:row r="299">
      <x:c r="A299" s="22" t="str">
        <x:v>饮品</x:v>
      </x:c>
      <x:c r="B299" s="22" t="str">
        <x:v>秋来好柿</x:v>
      </x:c>
      <x:c r="C299" s="22" t="str">
        <x:v>冰淇淋球25g（个）</x:v>
      </x:c>
      <x:c r="D299" s="34" t="n">
        <x:v>25</x:v>
      </x:c>
      <x:c r="E299" s="34" t="n">
        <x:v>25</x:v>
      </x:c>
      <x:c r="F299" s="34" t="n">
        <x:v>100</x:v>
      </x:c>
      <x:c r="G299" s="34" t="n">
        <x:v>10.84</x:v>
      </x:c>
      <x:c r="H299" s="34" t="n">
        <x:v>0.55</x:v>
      </x:c>
      <x:c r="I299" s="34"/>
      <x:c r="J299" s="34"/>
      <x:c r="K299" s="36"/>
      <x:c r="L299" s="22" t="str">
        <x:v>绣球菌</x:v>
      </x:c>
      <x:c r="M299" s="36" t="n">
        <x:v>0.1818</x:v>
      </x:c>
      <x:c r="N299" s="22" t="str">
        <x:v>未匹配</x:v>
      </x:c>
    </x:row>
    <x:row r="300">
      <x:c r="A300" s="22" t="str">
        <x:v>饮品</x:v>
      </x:c>
      <x:c r="B300" s="22" t="str">
        <x:v>秋来好柿</x:v>
      </x:c>
      <x:c r="C300" s="22" t="str">
        <x:v>薄荷一朵</x:v>
      </x:c>
      <x:c r="D300" s="34"/>
      <x:c r="E300" s="34"/>
      <x:c r="F300" s="34"/>
      <x:c r="G300" s="34"/>
      <x:c r="H300" s="34"/>
      <x:c r="I300" s="34"/>
      <x:c r="J300" s="34"/>
      <x:c r="K300" s="36"/>
      <x:c r="L300" s="22" t="str">
        <x:v>龙爪菇</x:v>
      </x:c>
      <x:c r="M300" s="36" t="n">
        <x:v>0</x:v>
      </x:c>
      <x:c r="N300" s="22" t="str">
        <x:v>未匹配</x:v>
      </x:c>
    </x:row>
    <x:row r="301">
      <x:c r="A301" s="22" t="str">
        <x:v>饮品</x:v>
      </x:c>
      <x:c r="B301" s="22" t="str">
        <x:v>蜜薯焦糖布蕾</x:v>
      </x:c>
      <x:c r="C301" s="22" t="str">
        <x:v>红薯150g</x:v>
      </x:c>
      <x:c r="D301" s="34" t="n">
        <x:v>150</x:v>
      </x:c>
      <x:c r="E301" s="34" t="n">
        <x:v>160</x:v>
      </x:c>
      <x:c r="F301" s="34" t="n">
        <x:v>93.75</x:v>
      </x:c>
      <x:c r="G301" s="34" t="n">
        <x:v>4</x:v>
      </x:c>
      <x:c r="H301" s="34" t="n">
        <x:v>1.3</x:v>
      </x:c>
      <x:c r="I301" s="34" t="n">
        <x:v>8.6</x:v>
      </x:c>
      <x:c r="J301" s="34" t="n">
        <x:v>22</x:v>
      </x:c>
      <x:c r="K301" s="36" t="n">
        <x:v>60.9</x:v>
      </x:c>
      <x:c r="L301" s="22" t="str">
        <x:v>农夫山泉1.5升</x:v>
      </x:c>
      <x:c r="M301" s="36" t="n">
        <x:v>0.2857</x:v>
      </x:c>
      <x:c r="N301" s="22" t="str">
        <x:v>未匹配</x:v>
      </x:c>
    </x:row>
    <x:row r="302">
      <x:c r="A302" s="22" t="str">
        <x:v>饮品</x:v>
      </x:c>
      <x:c r="B302" s="22" t="str">
        <x:v>蜜薯焦糖布蕾</x:v>
      </x:c>
      <x:c r="C302" s="22" t="str">
        <x:v>黄砂糖10g</x:v>
      </x:c>
      <x:c r="D302" s="34" t="n">
        <x:v>10</x:v>
      </x:c>
      <x:c r="E302" s="34" t="n">
        <x:v>10</x:v>
      </x:c>
      <x:c r="F302" s="34" t="n">
        <x:v>100</x:v>
      </x:c>
      <x:c r="G302" s="34" t="n">
        <x:v>17</x:v>
      </x:c>
      <x:c r="H302" s="34" t="n">
        <x:v>0.34</x:v>
      </x:c>
      <x:c r="I302" s="34"/>
      <x:c r="J302" s="34"/>
      <x:c r="K302" s="36"/>
      <x:c r="L302" s="22" t="str">
        <x:v>黄粉皮</x:v>
      </x:c>
      <x:c r="M302" s="36" t="n">
        <x:v>0.2222</x:v>
      </x:c>
      <x:c r="N302" s="22" t="str">
        <x:v>未匹配</x:v>
      </x:c>
    </x:row>
    <x:row r="303">
      <x:c r="A303" s="22" t="str">
        <x:v>饮品</x:v>
      </x:c>
      <x:c r="B303" s="22" t="str">
        <x:v>蜜薯焦糖布蕾</x:v>
      </x:c>
      <x:c r="C303" s="22" t="str">
        <x:v>布丁一个</x:v>
      </x:c>
      <x:c r="D303" s="34"/>
      <x:c r="E303" s="34"/>
      <x:c r="F303" s="34"/>
      <x:c r="G303" s="34" t="n">
        <x:v>4</x:v>
      </x:c>
      <x:c r="H303" s="34" t="n">
        <x:v>4</x:v>
      </x:c>
      <x:c r="I303" s="34"/>
      <x:c r="J303" s="34"/>
      <x:c r="K303" s="36"/>
      <x:c r="L303" s="22" t="str">
        <x:v>米布丁</x:v>
      </x:c>
      <x:c r="M303" s="36" t="n">
        <x:v>0.5714</x:v>
      </x:c>
      <x:c r="N303" s="22" t="str">
        <x:v>未匹配</x:v>
      </x:c>
    </x:row>
    <x:row r="304">
      <x:c r="A304" s="22" t="str">
        <x:v>饮品</x:v>
      </x:c>
      <x:c r="B304" s="22" t="str">
        <x:v>蜜薯焦糖布蕾</x:v>
      </x:c>
      <x:c r="C304" s="22" t="str">
        <x:v>大草莓一个</x:v>
      </x:c>
      <x:c r="D304" s="34" t="n">
        <x:v>5</x:v>
      </x:c>
      <x:c r="E304" s="34" t="n">
        <x:v>5</x:v>
      </x:c>
      <x:c r="F304" s="34" t="n">
        <x:v>100</x:v>
      </x:c>
      <x:c r="G304" s="34" t="n">
        <x:v>10</x:v>
      </x:c>
      <x:c r="H304" s="34" t="n">
        <x:v>0.2</x:v>
      </x:c>
      <x:c r="I304" s="34"/>
      <x:c r="J304" s="34"/>
      <x:c r="K304" s="36"/>
      <x:c r="L304" s="22" t="str">
        <x:v>冷冻红颜草莓肉</x:v>
      </x:c>
      <x:c r="M304" s="36" t="n">
        <x:v>0.3333</x:v>
      </x:c>
      <x:c r="N304" s="22" t="str">
        <x:v>未匹配</x:v>
      </x:c>
    </x:row>
    <x:row r="305">
      <x:c r="A305" s="22" t="str">
        <x:v>饮品</x:v>
      </x:c>
      <x:c r="B305" s="22" t="str">
        <x:v>蜜薯焦糖布蕾</x:v>
      </x:c>
      <x:c r="C305" s="22" t="str">
        <x:v>冰淇凌球一个</x:v>
      </x:c>
      <x:c r="D305" s="34" t="n">
        <x:v>25</x:v>
      </x:c>
      <x:c r="E305" s="34" t="n">
        <x:v>25</x:v>
      </x:c>
      <x:c r="F305" s="34" t="n">
        <x:v>100</x:v>
      </x:c>
      <x:c r="G305" s="34" t="n">
        <x:v>10.84</x:v>
      </x:c>
      <x:c r="H305" s="34" t="n">
        <x:v>0.55</x:v>
      </x:c>
      <x:c r="I305" s="34"/>
      <x:c r="J305" s="34"/>
      <x:c r="K305" s="36"/>
      <x:c r="L305" s="22" t="str">
        <x:v>绣球菌</x:v>
      </x:c>
      <x:c r="M305" s="36" t="n">
        <x:v>0.2222</x:v>
      </x:c>
      <x:c r="N305" s="22" t="str">
        <x:v>未匹配</x:v>
      </x:c>
    </x:row>
    <x:row r="306">
      <x:c r="A306" s="22" t="str">
        <x:v>饮品</x:v>
      </x:c>
      <x:c r="B306" s="22" t="str">
        <x:v>蜜薯焦糖布蕾</x:v>
      </x:c>
      <x:c r="C306" s="22" t="str">
        <x:v>麦片坚果碎</x:v>
      </x:c>
      <x:c r="D306" s="34" t="n">
        <x:v>20</x:v>
      </x:c>
      <x:c r="E306" s="34" t="n">
        <x:v>20</x:v>
      </x:c>
      <x:c r="F306" s="34" t="n">
        <x:v>100</x:v>
      </x:c>
      <x:c r="G306" s="34" t="n">
        <x:v>23</x:v>
      </x:c>
      <x:c r="H306" s="34" t="n">
        <x:v>1</x:v>
      </x:c>
      <x:c r="I306" s="34"/>
      <x:c r="J306" s="34"/>
      <x:c r="K306" s="36"/>
      <x:c r="L306" s="22" t="str">
        <x:v>鲷鱼片</x:v>
      </x:c>
      <x:c r="M306" s="36" t="n">
        <x:v>0.25</x:v>
      </x:c>
      <x:c r="N306" s="22" t="str">
        <x:v>未匹配</x:v>
      </x:c>
    </x:row>
    <x:row r="307">
      <x:c r="A307" s="22" t="str">
        <x:v>饮品</x:v>
      </x:c>
      <x:c r="B307" s="22" t="str">
        <x:v>蜜薯焦糖布蕾</x:v>
      </x:c>
      <x:c r="C307" s="22" t="str">
        <x:v>杏仁片</x:v>
      </x:c>
      <x:c r="D307" s="34" t="n">
        <x:v>2</x:v>
      </x:c>
      <x:c r="E307" s="34" t="n">
        <x:v>2</x:v>
      </x:c>
      <x:c r="F307" s="34" t="n">
        <x:v>100</x:v>
      </x:c>
      <x:c r="G307" s="34" t="n">
        <x:v>50</x:v>
      </x:c>
      <x:c r="H307" s="34" t="n">
        <x:v>0.2</x:v>
      </x:c>
      <x:c r="I307" s="34"/>
      <x:c r="J307" s="34"/>
      <x:c r="K307" s="36"/>
      <x:c r="L307" s="22" t="str">
        <x:v>鲷鱼片</x:v>
      </x:c>
      <x:c r="M307" s="36" t="n">
        <x:v>0.3333</x:v>
      </x:c>
      <x:c r="N307" s="22" t="str">
        <x:v>未匹配</x:v>
      </x:c>
    </x:row>
    <x:row r="308">
      <x:c r="A308" s="22" t="str">
        <x:v>饮品</x:v>
      </x:c>
      <x:c r="B308" s="22" t="str">
        <x:v>蜜薯焦糖布蕾</x:v>
      </x:c>
      <x:c r="C308" s="22" t="str">
        <x:v>枫叶一片</x:v>
      </x:c>
      <x:c r="D308" s="34" t="n">
        <x:v>2</x:v>
      </x:c>
      <x:c r="E308" s="34" t="n">
        <x:v>2</x:v>
      </x:c>
      <x:c r="F308" s="34" t="n">
        <x:v>100</x:v>
      </x:c>
      <x:c r="G308" s="34" t="n">
        <x:v>11</x:v>
      </x:c>
      <x:c r="H308" s="34" t="n">
        <x:v>1</x:v>
      </x:c>
      <x:c r="I308" s="34"/>
      <x:c r="J308" s="34"/>
      <x:c r="K308" s="36"/>
      <x:c r="L308" s="22" t="str">
        <x:v>鲷鱼片</x:v>
      </x:c>
      <x:c r="M308" s="36" t="n">
        <x:v>0.2857</x:v>
      </x:c>
      <x:c r="N308" s="22" t="str">
        <x:v>未匹配</x:v>
      </x:c>
    </x:row>
    <x:row r="309">
      <x:c r="A309" s="22" t="str">
        <x:v>油炸</x:v>
      </x:c>
      <x:c r="B309" s="22" t="str">
        <x:v>野菜粑粑</x:v>
      </x:c>
      <x:c r="C309" s="22" t="str">
        <x:v>野菜粑粑</x:v>
      </x:c>
      <x:c r="D309" s="34" t="n">
        <x:v>137</x:v>
      </x:c>
      <x:c r="E309" s="34" t="n">
        <x:v>137</x:v>
      </x:c>
      <x:c r="F309" s="34" t="n">
        <x:v>99.99999999999999</x:v>
      </x:c>
      <x:c r="G309" s="34" t="str">
        <x:v>5.85/袋</x:v>
      </x:c>
      <x:c r="H309" s="34" t="n">
        <x:v>3</x:v>
      </x:c>
      <x:c r="I309" s="34" t="n">
        <x:v>3</x:v>
      </x:c>
      <x:c r="J309" s="34" t="n">
        <x:v>18</x:v>
      </x:c>
      <x:c r="K309" s="36" t="n">
        <x:v>83.33333333333334</x:v>
      </x:c>
      <x:c r="L309" s="22" t="str">
        <x:v>野菜糍粑</x:v>
      </x:c>
      <x:c r="M309" s="36" t="n">
        <x:v>0.75</x:v>
      </x:c>
      <x:c r="N309" s="22" t="str">
        <x:v>可能匹配待确认</x:v>
      </x:c>
    </x:row>
    <x:row r="310">
      <x:c r="A310" s="22" t="str">
        <x:v>油炸</x:v>
      </x:c>
      <x:c r="B310" s="22" t="str">
        <x:v>香酥黄粉皮</x:v>
      </x:c>
      <x:c r="C310" s="22" t="str">
        <x:v>黄粉皮</x:v>
      </x:c>
      <x:c r="D310" s="34" t="n">
        <x:v>30</x:v>
      </x:c>
      <x:c r="E310" s="34" t="n">
        <x:v>32</x:v>
      </x:c>
      <x:c r="F310" s="34" t="n">
        <x:v>93.75</x:v>
      </x:c>
      <x:c r="G310" s="34" t="n">
        <x:v>21</x:v>
      </x:c>
      <x:c r="H310" s="34" t="n">
        <x:v>1.35</x:v>
      </x:c>
      <x:c r="I310" s="34" t="n">
        <x:v>1.55</x:v>
      </x:c>
      <x:c r="J310" s="34" t="n">
        <x:v>18</x:v>
      </x:c>
      <x:c r="K310" s="36" t="n">
        <x:v>91.38888888888889</x:v>
      </x:c>
      <x:c r="L310" s="22" t="str">
        <x:v>黄粉皮</x:v>
      </x:c>
      <x:c r="M310" s="36" t="n">
        <x:v>1</x:v>
      </x:c>
      <x:c r="N310" s="22" t="str">
        <x:v>名称一致</x:v>
      </x:c>
    </x:row>
    <x:row r="311">
      <x:c r="A311" s="22" t="str">
        <x:v>油炸</x:v>
      </x:c>
      <x:c r="B311" s="22" t="str">
        <x:v>香酥黄粉皮</x:v>
      </x:c>
      <x:c r="C311" s="22" t="str">
        <x:v>辣椒粉</x:v>
      </x:c>
      <x:c r="D311" s="34"/>
      <x:c r="E311" s="34"/>
      <x:c r="F311" s="34"/>
      <x:c r="G311" s="34" t="n">
        <x:v>21</x:v>
      </x:c>
      <x:c r="H311" s="34" t="n">
        <x:v>0.2</x:v>
      </x:c>
      <x:c r="I311" s="34"/>
      <x:c r="J311" s="34"/>
      <x:c r="K311" s="36"/>
      <x:c r="L311" s="22" t="str">
        <x:v>特级丘北辣椒</x:v>
      </x:c>
      <x:c r="M311" s="36" t="n">
        <x:v>0.4444</x:v>
      </x:c>
      <x:c r="N311" s="22" t="str">
        <x:v>未匹配</x:v>
      </x:c>
    </x:row>
    <x:row r="312">
      <x:c r="A312" s="22" t="str">
        <x:v>油炸</x:v>
      </x:c>
      <x:c r="B312" s="22" t="str">
        <x:v>建水香酥豆腐</x:v>
      </x:c>
      <x:c r="C312" s="22" t="str">
        <x:v>豆腐</x:v>
      </x:c>
      <x:c r="D312" s="34" t="n">
        <x:v>137</x:v>
      </x:c>
      <x:c r="E312" s="34" t="n">
        <x:v>137</x:v>
      </x:c>
      <x:c r="F312" s="34" t="n">
        <x:v>99.99999999999999</x:v>
      </x:c>
      <x:c r="G312" s="34" t="str">
        <x:v>6.5/袋</x:v>
      </x:c>
      <x:c r="H312" s="34" t="n">
        <x:v>2.6</x:v>
      </x:c>
      <x:c r="I312" s="34" t="n">
        <x:v>2.8000000000000003</x:v>
      </x:c>
      <x:c r="J312" s="34" t="n">
        <x:v>18</x:v>
      </x:c>
      <x:c r="K312" s="36" t="n">
        <x:v>84.44444444444444</x:v>
      </x:c>
      <x:c r="L312" s="22" t="str">
        <x:v>包浆豆腐（大）</x:v>
      </x:c>
      <x:c r="M312" s="36" t="n">
        <x:v>0.82</x:v>
      </x:c>
      <x:c r="N312" s="22" t="str">
        <x:v>可能匹配待确认</x:v>
      </x:c>
    </x:row>
    <x:row r="313">
      <x:c r="A313" s="22" t="str">
        <x:v>油炸</x:v>
      </x:c>
      <x:c r="B313" s="22" t="str">
        <x:v>香炸小酥肉</x:v>
      </x:c>
      <x:c r="C313" s="22" t="str">
        <x:v>小酥肉</x:v>
      </x:c>
      <x:c r="D313" s="34" t="n">
        <x:v>120</x:v>
      </x:c>
      <x:c r="E313" s="34" t="n">
        <x:v>122</x:v>
      </x:c>
      <x:c r="F313" s="34" t="n">
        <x:v>98.36065573770492</x:v>
      </x:c>
      <x:c r="G313" s="34" t="n">
        <x:v>18.6</x:v>
      </x:c>
      <x:c r="H313" s="34" t="n">
        <x:v>4.5</x:v>
      </x:c>
      <x:c r="I313" s="34" t="n">
        <x:v>4.7</x:v>
      </x:c>
      <x:c r="J313" s="34" t="n">
        <x:v>22</x:v>
      </x:c>
      <x:c r="K313" s="36" t="n">
        <x:v>78.63636363636364</x:v>
      </x:c>
      <x:c r="L313" s="22" t="str">
        <x:v>小酥肉</x:v>
      </x:c>
      <x:c r="M313" s="36" t="n">
        <x:v>1</x:v>
      </x:c>
      <x:c r="N313" s="22" t="str">
        <x:v>名称一致</x:v>
      </x:c>
    </x:row>
    <x:row r="314">
      <x:c r="A314" s="22" t="str">
        <x:v>油炸</x:v>
      </x:c>
      <x:c r="B314" s="22" t="str">
        <x:v>香炸小酥肉</x:v>
      </x:c>
      <x:c r="C314" s="22" t="str">
        <x:v>辣椒粉</x:v>
      </x:c>
      <x:c r="D314" s="34"/>
      <x:c r="E314" s="34"/>
      <x:c r="F314" s="34"/>
      <x:c r="G314" s="34" t="n">
        <x:v>21</x:v>
      </x:c>
      <x:c r="H314" s="34" t="n">
        <x:v>0.2</x:v>
      </x:c>
      <x:c r="I314" s="34"/>
      <x:c r="J314" s="34"/>
      <x:c r="K314" s="36"/>
      <x:c r="L314" s="22" t="str">
        <x:v>特级丘北辣椒</x:v>
      </x:c>
      <x:c r="M314" s="36" t="n">
        <x:v>0.4444</x:v>
      </x:c>
      <x:c r="N314" s="22" t="str">
        <x:v>未匹配</x:v>
      </x:c>
    </x:row>
    <x:row r="315">
      <x:c r="A315" s="22" t="str">
        <x:v>油炸</x:v>
      </x:c>
      <x:c r="B315" s="22" t="str">
        <x:v>香炸蘑菇</x:v>
      </x:c>
      <x:c r="C315" s="22" t="str">
        <x:v>炸平菇</x:v>
      </x:c>
      <x:c r="D315" s="34" t="n">
        <x:v>120</x:v>
      </x:c>
      <x:c r="E315" s="34" t="n">
        <x:v>122</x:v>
      </x:c>
      <x:c r="F315" s="34" t="n">
        <x:v>98.36065573770492</x:v>
      </x:c>
      <x:c r="G315" s="34" t="n">
        <x:v>10.85</x:v>
      </x:c>
      <x:c r="H315" s="34" t="n">
        <x:v>2.65</x:v>
      </x:c>
      <x:c r="I315" s="34" t="n">
        <x:v>2.85</x:v>
      </x:c>
      <x:c r="J315" s="34" t="n">
        <x:v>18</x:v>
      </x:c>
      <x:c r="K315" s="36" t="n">
        <x:v>84.16666666666667</x:v>
      </x:c>
      <x:c r="L315" s="22" t="str">
        <x:v>酥炸平菇</x:v>
      </x:c>
      <x:c r="M315" s="36" t="n">
        <x:v>0.89</x:v>
      </x:c>
      <x:c r="N315" s="22" t="str">
        <x:v>高相似待确认</x:v>
      </x:c>
    </x:row>
    <x:row r="316">
      <x:c r="A316" s="22" t="str">
        <x:v>油炸</x:v>
      </x:c>
      <x:c r="B316" s="22" t="str">
        <x:v>酥炸竹虫</x:v>
      </x:c>
      <x:c r="C316" s="22" t="str">
        <x:v>竹虫</x:v>
      </x:c>
      <x:c r="D316" s="34" t="n">
        <x:v>80</x:v>
      </x:c>
      <x:c r="E316" s="34" t="n">
        <x:v>83</x:v>
      </x:c>
      <x:c r="F316" s="34" t="n">
        <x:v>96.3855421686747</x:v>
      </x:c>
      <x:c r="G316" s="34" t="n">
        <x:v>83.5</x:v>
      </x:c>
      <x:c r="H316" s="34" t="n">
        <x:v>13.9</x:v>
      </x:c>
      <x:c r="I316" s="34" t="n">
        <x:v>14.1</x:v>
      </x:c>
      <x:c r="J316" s="34" t="n">
        <x:v>46</x:v>
      </x:c>
      <x:c r="K316" s="36" t="n">
        <x:v>69.34782608695652</x:v>
      </x:c>
      <x:c r="L316" s="22" t="str">
        <x:v>竹荪</x:v>
      </x:c>
      <x:c r="M316" s="36" t="n">
        <x:v>0.5</x:v>
      </x:c>
      <x:c r="N316" s="22" t="str">
        <x:v>未匹配</x:v>
      </x:c>
    </x:row>
    <x:row r="317">
      <x:c r="A317" s="22" t="str">
        <x:v>油炸</x:v>
      </x:c>
      <x:c r="B317" s="22" t="str">
        <x:v>酥炸竹虫</x:v>
      </x:c>
      <x:c r="C317" s="22" t="str">
        <x:v>辣椒粉</x:v>
      </x:c>
      <x:c r="D317" s="34"/>
      <x:c r="E317" s="34"/>
      <x:c r="F317" s="34"/>
      <x:c r="G317" s="34"/>
      <x:c r="H317" s="34" t="n">
        <x:v>0.2</x:v>
      </x:c>
      <x:c r="I317" s="34"/>
      <x:c r="J317" s="34"/>
      <x:c r="K317" s="36"/>
      <x:c r="L317" s="22" t="str">
        <x:v>特级丘北辣椒</x:v>
      </x:c>
      <x:c r="M317" s="36" t="n">
        <x:v>0.4444</x:v>
      </x:c>
      <x:c r="N317" s="22" t="str">
        <x:v>未匹配</x:v>
      </x:c>
    </x:row>
    <x:row r="318">
      <x:c r="A318" s="22" t="str">
        <x:v>油炸</x:v>
      </x:c>
      <x:c r="B318" s="22" t="str">
        <x:v>酥炸蚂蚱</x:v>
      </x:c>
      <x:c r="C318" s="22" t="str">
        <x:v>蚂蚱</x:v>
      </x:c>
      <x:c r="D318" s="34" t="n">
        <x:v>60</x:v>
      </x:c>
      <x:c r="E318" s="34" t="n">
        <x:v>63</x:v>
      </x:c>
      <x:c r="F318" s="34" t="n">
        <x:v>95.23809523809524</x:v>
      </x:c>
      <x:c r="G318" s="34" t="n">
        <x:v>38.5</x:v>
      </x:c>
      <x:c r="H318" s="34" t="n">
        <x:v>4.9</x:v>
      </x:c>
      <x:c r="I318" s="34" t="n">
        <x:v>5.1000000000000005</x:v>
      </x:c>
      <x:c r="J318" s="34" t="n">
        <x:v>36</x:v>
      </x:c>
      <x:c r="K318" s="36" t="n">
        <x:v>85.83333333333333</x:v>
      </x:c>
      <x:c r="L318" s="22" t="str">
        <x:v>龙爪菇</x:v>
      </x:c>
      <x:c r="M318" s="36" t="n">
        <x:v>0</x:v>
      </x:c>
      <x:c r="N318" s="22" t="str">
        <x:v>未匹配</x:v>
      </x:c>
    </x:row>
    <x:row r="319">
      <x:c r="A319" s="22" t="str">
        <x:v>油炸</x:v>
      </x:c>
      <x:c r="B319" s="22" t="str">
        <x:v>酥炸蚂蚱</x:v>
      </x:c>
      <x:c r="C319" s="22" t="str">
        <x:v>辣椒粉</x:v>
      </x:c>
      <x:c r="D319" s="34"/>
      <x:c r="E319" s="34"/>
      <x:c r="F319" s="34"/>
      <x:c r="G319" s="34"/>
      <x:c r="H319" s="34" t="n">
        <x:v>0.2</x:v>
      </x:c>
      <x:c r="I319" s="34"/>
      <x:c r="J319" s="34"/>
      <x:c r="K319" s="36"/>
      <x:c r="L319" s="22" t="str">
        <x:v>特级丘北辣椒</x:v>
      </x:c>
      <x:c r="M319" s="36" t="n">
        <x:v>0.4444</x:v>
      </x:c>
      <x:c r="N319" s="22" t="str">
        <x:v>未匹配</x:v>
      </x:c>
    </x:row>
    <x:row r="320">
      <x:c r="A320" s="22" t="str">
        <x:v>油炸</x:v>
      </x:c>
      <x:c r="B320" s="22" t="str">
        <x:v>酥炸昆虫双拼</x:v>
      </x:c>
      <x:c r="C320" s="22" t="str">
        <x:v>蚂蚱</x:v>
      </x:c>
      <x:c r="D320" s="34" t="n">
        <x:v>40</x:v>
      </x:c>
      <x:c r="E320" s="34" t="n">
        <x:v>42.1</x:v>
      </x:c>
      <x:c r="F320" s="34" t="n">
        <x:v>95.01187648456056</x:v>
      </x:c>
      <x:c r="G320" s="34" t="n">
        <x:v>38.5</x:v>
      </x:c>
      <x:c r="H320" s="34" t="n">
        <x:v>3.3</x:v>
      </x:c>
      <x:c r="I320" s="34" t="n">
        <x:v>12.2</x:v>
      </x:c>
      <x:c r="J320" s="34" t="n">
        <x:v>58</x:v>
      </x:c>
      <x:c r="K320" s="36" t="n">
        <x:v>78.96551724137932</x:v>
      </x:c>
      <x:c r="L320" s="22" t="str">
        <x:v>龙爪菇</x:v>
      </x:c>
      <x:c r="M320" s="36" t="n">
        <x:v>0</x:v>
      </x:c>
      <x:c r="N320" s="22" t="str">
        <x:v>未匹配</x:v>
      </x:c>
    </x:row>
    <x:row r="321">
      <x:c r="A321" s="22" t="str">
        <x:v>油炸</x:v>
      </x:c>
      <x:c r="B321" s="22" t="str">
        <x:v>酥炸昆虫双拼</x:v>
      </x:c>
      <x:c r="C321" s="22" t="str">
        <x:v>竹虫</x:v>
      </x:c>
      <x:c r="D321" s="34" t="n">
        <x:v>50</x:v>
      </x:c>
      <x:c r="E321" s="34" t="n">
        <x:v>52</x:v>
      </x:c>
      <x:c r="F321" s="34" t="n">
        <x:v>96.15384615384615</x:v>
      </x:c>
      <x:c r="G321" s="34" t="n">
        <x:v>83.5</x:v>
      </x:c>
      <x:c r="H321" s="34" t="n">
        <x:v>8.7</x:v>
      </x:c>
      <x:c r="I321" s="34"/>
      <x:c r="J321" s="34"/>
      <x:c r="K321" s="36"/>
      <x:c r="L321" s="22" t="str">
        <x:v>竹荪</x:v>
      </x:c>
      <x:c r="M321" s="36" t="n">
        <x:v>0.5</x:v>
      </x:c>
      <x:c r="N321" s="22" t="str">
        <x:v>未匹配</x:v>
      </x:c>
    </x:row>
    <x:row r="322">
      <x:c r="A322" s="22" t="str">
        <x:v>油炸</x:v>
      </x:c>
      <x:c r="B322" s="22" t="str">
        <x:v>酥炸昆虫双拼</x:v>
      </x:c>
      <x:c r="C322" s="22" t="str">
        <x:v>辣椒粉</x:v>
      </x:c>
      <x:c r="D322" s="34"/>
      <x:c r="E322" s="34"/>
      <x:c r="F322" s="34"/>
      <x:c r="G322" s="34"/>
      <x:c r="H322" s="34" t="n">
        <x:v>0.2</x:v>
      </x:c>
      <x:c r="I322" s="34"/>
      <x:c r="J322" s="34"/>
      <x:c r="K322" s="36"/>
      <x:c r="L322" s="22" t="str">
        <x:v>特级丘北辣椒</x:v>
      </x:c>
      <x:c r="M322" s="36" t="n">
        <x:v>0.4444</x:v>
      </x:c>
      <x:c r="N322" s="22" t="str">
        <x:v>未匹配</x:v>
      </x:c>
    </x:row>
    <x:row r="323">
      <x:c r="A323" s="22" t="str">
        <x:v>油炸</x:v>
      </x:c>
      <x:c r="B323" s="22" t="str">
        <x:v>干巴菌炒饭</x:v>
      </x:c>
      <x:c r="C323" s="22" t="str">
        <x:v>米饭</x:v>
      </x:c>
      <x:c r="D323" s="34" t="n">
        <x:v>300</x:v>
      </x:c>
      <x:c r="E323" s="34" t="n">
        <x:v>170</x:v>
      </x:c>
      <x:c r="F323" s="34" t="n">
        <x:v>176.47058823529412</x:v>
      </x:c>
      <x:c r="G323" s="34" t="n">
        <x:v>2</x:v>
      </x:c>
      <x:c r="H323" s="34" t="n">
        <x:v>0.7</x:v>
      </x:c>
      <x:c r="I323" s="34" t="n">
        <x:v>15.5</x:v>
      </x:c>
      <x:c r="J323" s="34" t="n">
        <x:v>68</x:v>
      </x:c>
      <x:c r="K323" s="36" t="n">
        <x:v>77.20588235294117</x:v>
      </x:c>
      <x:c r="L323" s="22" t="str">
        <x:v>花生米</x:v>
      </x:c>
      <x:c r="M323" s="36" t="n">
        <x:v>0.4</x:v>
      </x:c>
      <x:c r="N323" s="22" t="str">
        <x:v>未匹配</x:v>
      </x:c>
    </x:row>
    <x:row r="324">
      <x:c r="A324" s="22" t="str">
        <x:v>油炸</x:v>
      </x:c>
      <x:c r="B324" s="22" t="str">
        <x:v>干巴菌炒饭</x:v>
      </x:c>
      <x:c r="C324" s="22" t="str">
        <x:v>干巴菌</x:v>
      </x:c>
      <x:c r="D324" s="34" t="n">
        <x:v>30</x:v>
      </x:c>
      <x:c r="E324" s="34" t="n">
        <x:v>35</x:v>
      </x:c>
      <x:c r="F324" s="34" t="n">
        <x:v>85.71428571428572</x:v>
      </x:c>
      <x:c r="G324" s="34" t="n">
        <x:v>182.5</x:v>
      </x:c>
      <x:c r="H324" s="34" t="n">
        <x:v>12.8</x:v>
      </x:c>
      <x:c r="I324" s="34"/>
      <x:c r="J324" s="34"/>
      <x:c r="K324" s="36"/>
      <x:c r="L324" s="22" t="str">
        <x:v>冻干巴菌</x:v>
      </x:c>
      <x:c r="M324" s="36" t="n">
        <x:v>0.89</x:v>
      </x:c>
      <x:c r="N324" s="22" t="str">
        <x:v>高相似待确认</x:v>
      </x:c>
    </x:row>
    <x:row r="325">
      <x:c r="A325" s="22" t="str">
        <x:v>油炸</x:v>
      </x:c>
      <x:c r="B325" s="22" t="str">
        <x:v>干巴菌炒饭</x:v>
      </x:c>
      <x:c r="C325" s="22" t="str">
        <x:v>火腿</x:v>
      </x:c>
      <x:c r="D325" s="34" t="n">
        <x:v>20</x:v>
      </x:c>
      <x:c r="E325" s="34" t="n">
        <x:v>20</x:v>
      </x:c>
      <x:c r="F325" s="34" t="n">
        <x:v>100</x:v>
      </x:c>
      <x:c r="G325" s="34" t="n">
        <x:v>49</x:v>
      </x:c>
      <x:c r="H325" s="34" t="n">
        <x:v>2</x:v>
      </x:c>
      <x:c r="I325" s="34"/>
      <x:c r="J325" s="34"/>
      <x:c r="K325" s="36"/>
      <x:c r="L325" s="22" t="str">
        <x:v>云南腊火腿</x:v>
      </x:c>
      <x:c r="M325" s="36" t="n">
        <x:v>0.82</x:v>
      </x:c>
      <x:c r="N325" s="22" t="str">
        <x:v>可能匹配待确认</x:v>
      </x:c>
    </x:row>
    <x:row r="326">
      <x:c r="A326" s="22" t="str">
        <x:v>油炸</x:v>
      </x:c>
      <x:c r="B326" s="22" t="str">
        <x:v>牛干巴炒饭</x:v>
      </x:c>
      <x:c r="C326" s="22" t="str">
        <x:v>米饭</x:v>
      </x:c>
      <x:c r="D326" s="34" t="n">
        <x:v>300</x:v>
      </x:c>
      <x:c r="E326" s="34" t="n">
        <x:v>170</x:v>
      </x:c>
      <x:c r="F326" s="34" t="n">
        <x:v>176.47058823529412</x:v>
      </x:c>
      <x:c r="G326" s="34" t="n">
        <x:v>2</x:v>
      </x:c>
      <x:c r="H326" s="34" t="n">
        <x:v>0.7</x:v>
      </x:c>
      <x:c r="I326" s="34" t="n">
        <x:v>7.2</x:v>
      </x:c>
      <x:c r="J326" s="34" t="n">
        <x:v>28</x:v>
      </x:c>
      <x:c r="K326" s="36" t="n">
        <x:v>74.28571428571428</x:v>
      </x:c>
      <x:c r="L326" s="22" t="str">
        <x:v>花生米</x:v>
      </x:c>
      <x:c r="M326" s="36" t="n">
        <x:v>0.4</x:v>
      </x:c>
      <x:c r="N326" s="22" t="str">
        <x:v>未匹配</x:v>
      </x:c>
    </x:row>
    <x:row r="327">
      <x:c r="A327" s="22" t="str">
        <x:v>油炸</x:v>
      </x:c>
      <x:c r="B327" s="22" t="str">
        <x:v>牛干巴炒饭</x:v>
      </x:c>
      <x:c r="C327" s="22" t="str">
        <x:v>牛干巴</x:v>
      </x:c>
      <x:c r="D327" s="34" t="n">
        <x:v>30</x:v>
      </x:c>
      <x:c r="E327" s="34" t="n">
        <x:v>32</x:v>
      </x:c>
      <x:c r="F327" s="34" t="n">
        <x:v>93.75</x:v>
      </x:c>
      <x:c r="G327" s="34" t="n">
        <x:v>76</x:v>
      </x:c>
      <x:c r="H327" s="34" t="n">
        <x:v>4.9</x:v>
      </x:c>
      <x:c r="I327" s="34"/>
      <x:c r="J327" s="34"/>
      <x:c r="K327" s="36"/>
      <x:c r="L327" s="22" t="str">
        <x:v>云南牛干巴</x:v>
      </x:c>
      <x:c r="M327" s="36" t="n">
        <x:v>0.86</x:v>
      </x:c>
      <x:c r="N327" s="22" t="str">
        <x:v>高相似待确认</x:v>
      </x:c>
    </x:row>
    <x:row r="328">
      <x:c r="A328" s="22" t="str">
        <x:v>油炸</x:v>
      </x:c>
      <x:c r="B328" s="22" t="str">
        <x:v>牛干巴炒饭</x:v>
      </x:c>
      <x:c r="C328" s="22" t="str">
        <x:v>鸡蛋</x:v>
      </x:c>
      <x:c r="D328" s="34" t="n">
        <x:v>1</x:v>
      </x:c>
      <x:c r="E328" s="34" t="n">
        <x:v>1</x:v>
      </x:c>
      <x:c r="F328" s="34" t="n">
        <x:v>100</x:v>
      </x:c>
      <x:c r="G328" s="34" t="n">
        <x:v>0.6</x:v>
      </x:c>
      <x:c r="H328" s="34" t="n">
        <x:v>0.6</x:v>
      </x:c>
      <x:c r="I328" s="34"/>
      <x:c r="J328" s="34"/>
      <x:c r="K328" s="36"/>
      <x:c r="L328" s="22" t="str">
        <x:v>鸡架</x:v>
      </x:c>
      <x:c r="M328" s="36" t="n">
        <x:v>0.5</x:v>
      </x:c>
      <x:c r="N328" s="22" t="str">
        <x:v>未匹配</x:v>
      </x:c>
    </x:row>
    <x:row r="329">
      <x:c r="A329" s="22" t="str">
        <x:v>油炸</x:v>
      </x:c>
      <x:c r="B329" s="22" t="str">
        <x:v>牛干巴炒饭</x:v>
      </x:c>
      <x:c r="C329" s="22" t="str">
        <x:v>小料</x:v>
      </x:c>
      <x:c r="D329" s="34" t="n">
        <x:v>60</x:v>
      </x:c>
      <x:c r="E329" s="34"/>
      <x:c r="F329" s="34"/>
      <x:c r="G329" s="34"/>
      <x:c r="H329" s="34" t="n">
        <x:v>1</x:v>
      </x:c>
      <x:c r="I329" s="34"/>
      <x:c r="J329" s="34"/>
      <x:c r="K329" s="36"/>
      <x:c r="L329" s="22" t="str">
        <x:v>小酥肉</x:v>
      </x:c>
      <x:c r="M329" s="36" t="n">
        <x:v>0.4</x:v>
      </x:c>
      <x:c r="N329" s="22" t="str">
        <x:v>未匹配</x:v>
      </x:c>
    </x:row>
    <x:row r="330">
      <x:c r="A330" s="22" t="str">
        <x:v>油炸</x:v>
      </x:c>
      <x:c r="B330" s="22" t="str">
        <x:v>海鲜炒饭</x:v>
      </x:c>
      <x:c r="C330" s="22" t="str">
        <x:v>米饭</x:v>
      </x:c>
      <x:c r="D330" s="34" t="n">
        <x:v>300</x:v>
      </x:c>
      <x:c r="E330" s="34" t="n">
        <x:v>170</x:v>
      </x:c>
      <x:c r="F330" s="34" t="n">
        <x:v>176.47058823529412</x:v>
      </x:c>
      <x:c r="G330" s="34" t="n">
        <x:v>2</x:v>
      </x:c>
      <x:c r="H330" s="34" t="n">
        <x:v>0.7</x:v>
      </x:c>
      <x:c r="I330" s="34" t="n">
        <x:v>8</x:v>
      </x:c>
      <x:c r="J330" s="34" t="n">
        <x:v>58</x:v>
      </x:c>
      <x:c r="K330" s="36" t="n">
        <x:v>86.20689655172414</x:v>
      </x:c>
      <x:c r="L330" s="22" t="str">
        <x:v>花生米</x:v>
      </x:c>
      <x:c r="M330" s="36" t="n">
        <x:v>0.4</x:v>
      </x:c>
      <x:c r="N330" s="22" t="str">
        <x:v>未匹配</x:v>
      </x:c>
    </x:row>
    <x:row r="331">
      <x:c r="A331" s="22" t="str">
        <x:v>油炸</x:v>
      </x:c>
      <x:c r="B331" s="22" t="str">
        <x:v>海鲜炒饭</x:v>
      </x:c>
      <x:c r="C331" s="22" t="str">
        <x:v>鲍鱼</x:v>
      </x:c>
      <x:c r="D331" s="34" t="str">
        <x:v>1个</x:v>
      </x:c>
      <x:c r="E331" s="34" t="n">
        <x:v>54</x:v>
      </x:c>
      <x:c r="F331" s="34"/>
      <x:c r="G331" s="34" t="str">
        <x:v>4.7/29.5</x:v>
      </x:c>
      <x:c r="H331" s="34" t="n">
        <x:v>4.7</x:v>
      </x:c>
      <x:c r="I331" s="34"/>
      <x:c r="J331" s="34"/>
      <x:c r="K331" s="36"/>
      <x:c r="L331" s="22" t="str">
        <x:v>鲍鱼</x:v>
      </x:c>
      <x:c r="M331" s="36" t="n">
        <x:v>1</x:v>
      </x:c>
      <x:c r="N331" s="22" t="str">
        <x:v>名称一致</x:v>
      </x:c>
    </x:row>
    <x:row r="332">
      <x:c r="A332" s="22" t="str">
        <x:v>油炸</x:v>
      </x:c>
      <x:c r="B332" s="22" t="str">
        <x:v>海鲜炒饭</x:v>
      </x:c>
      <x:c r="C332" s="22" t="str">
        <x:v>海螺片</x:v>
      </x:c>
      <x:c r="D332" s="34" t="n">
        <x:v>10</x:v>
      </x:c>
      <x:c r="E332" s="34" t="n">
        <x:v>12</x:v>
      </x:c>
      <x:c r="F332" s="34" t="n">
        <x:v>83.33333333333334</x:v>
      </x:c>
      <x:c r="G332" s="34" t="n">
        <x:v>35.3</x:v>
      </x:c>
      <x:c r="H332" s="34" t="n">
        <x:v>1</x:v>
      </x:c>
      <x:c r="I332" s="34"/>
      <x:c r="J332" s="34"/>
      <x:c r="K332" s="36"/>
      <x:c r="L332" s="22" t="str">
        <x:v>海螺片</x:v>
      </x:c>
      <x:c r="M332" s="36" t="n">
        <x:v>1</x:v>
      </x:c>
      <x:c r="N332" s="22" t="str">
        <x:v>名称一致</x:v>
      </x:c>
    </x:row>
    <x:row r="333">
      <x:c r="A333" s="22" t="str">
        <x:v>油炸</x:v>
      </x:c>
      <x:c r="B333" s="22" t="str">
        <x:v>海鲜炒饭</x:v>
      </x:c>
      <x:c r="C333" s="22" t="str">
        <x:v>鸡蛋</x:v>
      </x:c>
      <x:c r="D333" s="34" t="n">
        <x:v>56</x:v>
      </x:c>
      <x:c r="E333" s="34" t="n">
        <x:v>56</x:v>
      </x:c>
      <x:c r="F333" s="34" t="n">
        <x:v>99.99999999999999</x:v>
      </x:c>
      <x:c r="G333" s="34" t="n">
        <x:v>0.6</x:v>
      </x:c>
      <x:c r="H333" s="34" t="n">
        <x:v>0.6</x:v>
      </x:c>
      <x:c r="I333" s="34"/>
      <x:c r="J333" s="34"/>
      <x:c r="K333" s="36"/>
      <x:c r="L333" s="22" t="str">
        <x:v>鸡架</x:v>
      </x:c>
      <x:c r="M333" s="36" t="n">
        <x:v>0.5</x:v>
      </x:c>
      <x:c r="N333" s="22" t="str">
        <x:v>未匹配</x:v>
      </x:c>
    </x:row>
    <x:row r="334">
      <x:c r="A334" s="22" t="str">
        <x:v>油炸</x:v>
      </x:c>
      <x:c r="B334" s="22" t="str">
        <x:v>海鲜炒饭</x:v>
      </x:c>
      <x:c r="C334" s="22" t="str">
        <x:v>小料</x:v>
      </x:c>
      <x:c r="D334" s="34" t="n">
        <x:v>60</x:v>
      </x:c>
      <x:c r="E334" s="34" t="n">
        <x:v>60</x:v>
      </x:c>
      <x:c r="F334" s="34" t="n">
        <x:v>100</x:v>
      </x:c>
      <x:c r="G334" s="34" t="n">
        <x:v>1</x:v>
      </x:c>
      <x:c r="H334" s="34" t="n">
        <x:v>1</x:v>
      </x:c>
      <x:c r="I334" s="34"/>
      <x:c r="J334" s="34"/>
      <x:c r="K334" s="36"/>
      <x:c r="L334" s="22" t="str">
        <x:v>小酥肉</x:v>
      </x:c>
      <x:c r="M334" s="36" t="n">
        <x:v>0.4</x:v>
      </x:c>
      <x:c r="N334" s="22" t="str">
        <x:v>未匹配</x:v>
      </x:c>
    </x:row>
    <x:row r="335">
      <x:c r="A335" s="22" t="str">
        <x:v>油炸</x:v>
      </x:c>
      <x:c r="B335" s="22" t="str">
        <x:v>野鲜菌火腿焖饭</x:v>
      </x:c>
      <x:c r="C335" s="22" t="str">
        <x:v>大米</x:v>
      </x:c>
      <x:c r="D335" s="34" t="n">
        <x:v>350</x:v>
      </x:c>
      <x:c r="E335" s="34" t="n">
        <x:v>198</x:v>
      </x:c>
      <x:c r="F335" s="34" t="n">
        <x:v>176.76767676767676</x:v>
      </x:c>
      <x:c r="G335" s="34" t="n">
        <x:v>4.4</x:v>
      </x:c>
      <x:c r="H335" s="34" t="n">
        <x:v>1.8</x:v>
      </x:c>
      <x:c r="I335" s="34" t="n">
        <x:v>11</x:v>
      </x:c>
      <x:c r="J335" s="34" t="n">
        <x:v>38</x:v>
      </x:c>
      <x:c r="K335" s="36" t="n">
        <x:v>71.05263157894737</x:v>
      </x:c>
      <x:c r="L335" s="22" t="str">
        <x:v>五常大米</x:v>
      </x:c>
      <x:c r="M335" s="36" t="n">
        <x:v>0.84</x:v>
      </x:c>
      <x:c r="N335" s="22" t="str">
        <x:v>可能匹配待确认</x:v>
      </x:c>
    </x:row>
    <x:row r="336">
      <x:c r="A336" s="22" t="str">
        <x:v>油炸</x:v>
      </x:c>
      <x:c r="B336" s="22" t="str">
        <x:v>野鲜菌火腿焖饭</x:v>
      </x:c>
      <x:c r="C336" s="22" t="str">
        <x:v>焖饭汁</x:v>
      </x:c>
      <x:c r="D336" s="34" t="n">
        <x:v>23</x:v>
      </x:c>
      <x:c r="E336" s="34" t="n">
        <x:v>23</x:v>
      </x:c>
      <x:c r="F336" s="34" t="n">
        <x:v>100</x:v>
      </x:c>
      <x:c r="G336" s="34" t="n">
        <x:v>10.25</x:v>
      </x:c>
      <x:c r="H336" s="34" t="n">
        <x:v>0.47</x:v>
      </x:c>
      <x:c r="I336" s="34"/>
      <x:c r="J336" s="34"/>
      <x:c r="K336" s="36"/>
      <x:c r="L336" s="22" t="str">
        <x:v>焖饭汁</x:v>
      </x:c>
      <x:c r="M336" s="36" t="n">
        <x:v>1</x:v>
      </x:c>
      <x:c r="N336" s="22" t="str">
        <x:v>名称一致</x:v>
      </x:c>
    </x:row>
    <x:row r="337">
      <x:c r="A337" s="22" t="str">
        <x:v>油炸</x:v>
      </x:c>
      <x:c r="B337" s="22" t="str">
        <x:v>野鲜菌火腿焖饭</x:v>
      </x:c>
      <x:c r="C337" s="22" t="str">
        <x:v>火腿</x:v>
      </x:c>
      <x:c r="D337" s="34" t="n">
        <x:v>24</x:v>
      </x:c>
      <x:c r="E337" s="34" t="n">
        <x:v>24</x:v>
      </x:c>
      <x:c r="F337" s="34" t="n">
        <x:v>100</x:v>
      </x:c>
      <x:c r="G337" s="34" t="n">
        <x:v>49</x:v>
      </x:c>
      <x:c r="H337" s="34" t="n">
        <x:v>2.4</x:v>
      </x:c>
      <x:c r="I337" s="34"/>
      <x:c r="J337" s="34"/>
      <x:c r="K337" s="36"/>
      <x:c r="L337" s="22" t="str">
        <x:v>云南腊火腿</x:v>
      </x:c>
      <x:c r="M337" s="36" t="n">
        <x:v>0.82</x:v>
      </x:c>
      <x:c r="N337" s="22" t="str">
        <x:v>可能匹配待确认</x:v>
      </x:c>
    </x:row>
    <x:row r="338">
      <x:c r="A338" s="22" t="str">
        <x:v>油炸</x:v>
      </x:c>
      <x:c r="B338" s="22" t="str">
        <x:v>野鲜菌火腿焖饭</x:v>
      </x:c>
      <x:c r="C338" s="22" t="str">
        <x:v>舞茸</x:v>
      </x:c>
      <x:c r="D338" s="34" t="n">
        <x:v>25</x:v>
      </x:c>
      <x:c r="E338" s="34" t="n">
        <x:v>25</x:v>
      </x:c>
      <x:c r="F338" s="34" t="n">
        <x:v>100</x:v>
      </x:c>
      <x:c r="G338" s="34" t="n">
        <x:v>28.7</x:v>
      </x:c>
      <x:c r="H338" s="34" t="n">
        <x:v>1.5</x:v>
      </x:c>
      <x:c r="I338" s="34"/>
      <x:c r="J338" s="34"/>
      <x:c r="K338" s="36"/>
      <x:c r="L338" s="22" t="str">
        <x:v>舞茸菇</x:v>
      </x:c>
      <x:c r="M338" s="36" t="n">
        <x:v>0.8733</x:v>
      </x:c>
      <x:c r="N338" s="22" t="str">
        <x:v>高相似待确认</x:v>
      </x:c>
    </x:row>
    <x:row r="339">
      <x:c r="A339" s="22" t="str">
        <x:v>油炸</x:v>
      </x:c>
      <x:c r="B339" s="22" t="str">
        <x:v>野鲜菌火腿焖饭</x:v>
      </x:c>
      <x:c r="C339" s="22" t="str">
        <x:v>黑鸡枞</x:v>
      </x:c>
      <x:c r="D339" s="34" t="n">
        <x:v>25</x:v>
      </x:c>
      <x:c r="E339" s="34" t="n">
        <x:v>25.5</x:v>
      </x:c>
      <x:c r="F339" s="34" t="n">
        <x:v>98.0392156862745</x:v>
      </x:c>
      <x:c r="G339" s="34" t="n">
        <x:v>28</x:v>
      </x:c>
      <x:c r="H339" s="34" t="n">
        <x:v>1.5</x:v>
      </x:c>
      <x:c r="I339" s="34"/>
      <x:c r="J339" s="34"/>
      <x:c r="K339" s="36"/>
      <x:c r="L339" s="22" t="str">
        <x:v>黑皮鸡枞菌</x:v>
      </x:c>
      <x:c r="M339" s="36" t="n">
        <x:v>0.75</x:v>
      </x:c>
      <x:c r="N339" s="22" t="str">
        <x:v>可能匹配待确认</x:v>
      </x:c>
    </x:row>
    <x:row r="340">
      <x:c r="A340" s="22" t="str">
        <x:v>油炸</x:v>
      </x:c>
      <x:c r="B340" s="22" t="str">
        <x:v>野鲜菌火腿焖饭</x:v>
      </x:c>
      <x:c r="C340" s="22" t="str">
        <x:v>耗油、油</x:v>
      </x:c>
      <x:c r="D340" s="34" t="n">
        <x:v>3</x:v>
      </x:c>
      <x:c r="E340" s="34" t="n">
        <x:v>3</x:v>
      </x:c>
      <x:c r="F340" s="34" t="n">
        <x:v>100</x:v>
      </x:c>
      <x:c r="G340" s="34" t="n">
        <x:v>2.5</x:v>
      </x:c>
      <x:c r="H340" s="34" t="n">
        <x:v>1</x:v>
      </x:c>
      <x:c r="I340" s="34"/>
      <x:c r="J340" s="34"/>
      <x:c r="K340" s="36"/>
      <x:c r="L340" s="22" t="str">
        <x:v>喷射奶油</x:v>
      </x:c>
      <x:c r="M340" s="36" t="n">
        <x:v>0.25</x:v>
      </x:c>
      <x:c r="N340" s="22" t="str">
        <x:v>未匹配</x:v>
      </x:c>
    </x:row>
    <x:row r="341">
      <x:c r="A341" s="22" t="str">
        <x:v>油炸</x:v>
      </x:c>
      <x:c r="B341" s="22" t="str">
        <x:v>野鲜菌火腿焖饭</x:v>
      </x:c>
      <x:c r="C341" s="22" t="str">
        <x:v>酒精块</x:v>
      </x:c>
      <x:c r="D341" s="34" t="str">
        <x:v>1个</x:v>
      </x:c>
      <x:c r="E341" s="34" t="n">
        <x:v>1</x:v>
      </x:c>
      <x:c r="F341" s="34"/>
      <x:c r="G341" s="34" t="n">
        <x:v>0.2</x:v>
      </x:c>
      <x:c r="H341" s="34" t="n">
        <x:v>0.2</x:v>
      </x:c>
      <x:c r="I341" s="34"/>
      <x:c r="J341" s="34"/>
      <x:c r="K341" s="36"/>
      <x:c r="L341" s="22" t="str">
        <x:v>饵块</x:v>
      </x:c>
      <x:c r="M341" s="36" t="n">
        <x:v>0.4</x:v>
      </x:c>
      <x:c r="N341" s="22" t="str">
        <x:v>未匹配</x:v>
      </x:c>
    </x:row>
    <x:row r="342">
      <x:c r="A342" s="22" t="str">
        <x:v>油炸</x:v>
      </x:c>
      <x:c r="B342" s="22" t="str">
        <x:v>野鲜菌火腿焖饭</x:v>
      </x:c>
      <x:c r="C342" s="22" t="str">
        <x:v>黑牛肝</x:v>
      </x:c>
      <x:c r="D342" s="34" t="n">
        <x:v>25</x:v>
      </x:c>
      <x:c r="E342" s="34" t="n">
        <x:v>28</x:v>
      </x:c>
      <x:c r="F342" s="34" t="n">
        <x:v>89.28571428571428</x:v>
      </x:c>
      <x:c r="G342" s="34" t="n">
        <x:v>39.5</x:v>
      </x:c>
      <x:c r="H342" s="34" t="n">
        <x:v>2.2</x:v>
      </x:c>
      <x:c r="I342" s="34"/>
      <x:c r="J342" s="34"/>
      <x:c r="K342" s="36"/>
      <x:c r="L342" s="22" t="str">
        <x:v>黑牛肝菌</x:v>
      </x:c>
      <x:c r="M342" s="36" t="n">
        <x:v>0.89</x:v>
      </x:c>
      <x:c r="N342" s="22" t="str">
        <x:v>高相似待确认</x:v>
      </x:c>
    </x:row>
    <x:row r="343">
      <x:c r="A343" s="22" t="str">
        <x:v>锅底</x:v>
      </x:c>
      <x:c r="B343" s="22" t="str">
        <x:v>云滇特色酸辣锅底微辣</x:v>
      </x:c>
      <x:c r="C343" s="22" t="str">
        <x:v>大豆油</x:v>
      </x:c>
      <x:c r="D343" s="34" t="n">
        <x:v>180</x:v>
      </x:c>
      <x:c r="E343" s="34" t="n">
        <x:v>180</x:v>
      </x:c>
      <x:c r="F343" s="34" t="n">
        <x:v>100</x:v>
      </x:c>
      <x:c r="G343" s="34" t="n">
        <x:v>4.5</x:v>
      </x:c>
      <x:c r="H343" s="34" t="n">
        <x:v>1.62</x:v>
      </x:c>
      <x:c r="I343" s="34" t="n">
        <x:v>15.8</x:v>
      </x:c>
      <x:c r="J343" s="34" t="n">
        <x:v>48</x:v>
      </x:c>
      <x:c r="K343" s="36" t="n">
        <x:v>0.67</x:v>
      </x:c>
      <x:c r="L343" s="22" t="str">
        <x:v>黑豆花</x:v>
      </x:c>
      <x:c r="M343" s="36" t="n">
        <x:v>0.3333</x:v>
      </x:c>
      <x:c r="N343" s="22" t="str">
        <x:v>未匹配</x:v>
      </x:c>
    </x:row>
    <x:row r="344">
      <x:c r="A344" s="22" t="str">
        <x:v>锅底</x:v>
      </x:c>
      <x:c r="B344" s="22" t="str">
        <x:v>云滇特色酸辣锅底微辣</x:v>
      </x:c>
      <x:c r="C344" s="22" t="str">
        <x:v>黄姜末</x:v>
      </x:c>
      <x:c r="D344" s="34" t="n">
        <x:v>30</x:v>
      </x:c>
      <x:c r="E344" s="34" t="n">
        <x:v>31</x:v>
      </x:c>
      <x:c r="F344" s="34" t="n">
        <x:v>96.7741935483871</x:v>
      </x:c>
      <x:c r="G344" s="34" t="n">
        <x:v>6</x:v>
      </x:c>
      <x:c r="H344" s="34" t="n">
        <x:v>0.37</x:v>
      </x:c>
      <x:c r="I344" s="34"/>
      <x:c r="J344" s="34"/>
      <x:c r="K344" s="36"/>
      <x:c r="L344" s="22" t="str">
        <x:v>黄粉皮</x:v>
      </x:c>
      <x:c r="M344" s="36" t="n">
        <x:v>0.3333</x:v>
      </x:c>
      <x:c r="N344" s="22" t="str">
        <x:v>未匹配</x:v>
      </x:c>
    </x:row>
    <x:row r="345">
      <x:c r="A345" s="22" t="str">
        <x:v>锅底</x:v>
      </x:c>
      <x:c r="B345" s="22" t="str">
        <x:v>云滇特色酸辣锅底微辣</x:v>
      </x:c>
      <x:c r="C345" s="22" t="str">
        <x:v>蒜末</x:v>
      </x:c>
      <x:c r="D345" s="34" t="n">
        <x:v>30</x:v>
      </x:c>
      <x:c r="E345" s="34" t="n">
        <x:v>30</x:v>
      </x:c>
      <x:c r="F345" s="34" t="n">
        <x:v>100</x:v>
      </x:c>
      <x:c r="G345" s="34" t="n">
        <x:v>6</x:v>
      </x:c>
      <x:c r="H345" s="34" t="n">
        <x:v>0.36</x:v>
      </x:c>
      <x:c r="I345" s="34"/>
      <x:c r="J345" s="34"/>
      <x:c r="K345" s="36"/>
      <x:c r="L345" s="22" t="str">
        <x:v>龙爪菇</x:v>
      </x:c>
      <x:c r="M345" s="36" t="n">
        <x:v>0</x:v>
      </x:c>
      <x:c r="N345" s="22" t="str">
        <x:v>未匹配</x:v>
      </x:c>
    </x:row>
    <x:row r="346">
      <x:c r="A346" s="22" t="str">
        <x:v>锅底</x:v>
      </x:c>
      <x:c r="B346" s="22" t="str">
        <x:v>云滇特色酸辣锅底微辣</x:v>
      </x:c>
      <x:c r="C346" s="22" t="str">
        <x:v>新平酸菜</x:v>
      </x:c>
      <x:c r="D346" s="34" t="n">
        <x:v>100</x:v>
      </x:c>
      <x:c r="E346" s="34" t="n">
        <x:v>103</x:v>
      </x:c>
      <x:c r="F346" s="34" t="n">
        <x:v>97.08737864077669</x:v>
      </x:c>
      <x:c r="G346" s="34" t="n">
        <x:v>8.6</x:v>
      </x:c>
      <x:c r="H346" s="34" t="n">
        <x:v>1.78</x:v>
      </x:c>
      <x:c r="I346" s="34"/>
      <x:c r="J346" s="34"/>
      <x:c r="K346" s="36"/>
      <x:c r="L346" s="22" t="str">
        <x:v>新平酸菜（整）</x:v>
      </x:c>
      <x:c r="M346" s="36" t="n">
        <x:v>0.9</x:v>
      </x:c>
      <x:c r="N346" s="22" t="str">
        <x:v>高相似待确认</x:v>
      </x:c>
    </x:row>
    <x:row r="347">
      <x:c r="A347" s="22" t="str">
        <x:v>锅底</x:v>
      </x:c>
      <x:c r="B347" s="22" t="str">
        <x:v>云滇特色酸辣锅底微辣</x:v>
      </x:c>
      <x:c r="C347" s="22" t="str">
        <x:v>酸萝卜丝</x:v>
      </x:c>
      <x:c r="D347" s="34" t="n">
        <x:v>200</x:v>
      </x:c>
      <x:c r="E347" s="34" t="n">
        <x:v>285</x:v>
      </x:c>
      <x:c r="F347" s="34" t="n">
        <x:v>70.17543859649122</x:v>
      </x:c>
      <x:c r="G347" s="34" t="str">
        <x:v>12.75/袋</x:v>
      </x:c>
      <x:c r="H347" s="34" t="n">
        <x:v>1.32</x:v>
      </x:c>
      <x:c r="I347" s="34"/>
      <x:c r="J347" s="34"/>
      <x:c r="K347" s="36"/>
      <x:c r="L347" s="22" t="str">
        <x:v>酸萝卜丝·富源酸菜</x:v>
      </x:c>
      <x:c r="M347" s="36" t="n">
        <x:v>0.84</x:v>
      </x:c>
      <x:c r="N347" s="22" t="str">
        <x:v>可能匹配待确认</x:v>
      </x:c>
    </x:row>
    <x:row r="348">
      <x:c r="A348" s="22" t="str">
        <x:v>锅底</x:v>
      </x:c>
      <x:c r="B348" s="22" t="str">
        <x:v>云滇特色酸辣锅底微辣</x:v>
      </x:c>
      <x:c r="C348" s="22" t="str">
        <x:v>秘制底料</x:v>
      </x:c>
      <x:c r="D348" s="34" t="n">
        <x:v>100</x:v>
      </x:c>
      <x:c r="E348" s="34" t="n">
        <x:v>100</x:v>
      </x:c>
      <x:c r="F348" s="34" t="n">
        <x:v>100</x:v>
      </x:c>
      <x:c r="G348" s="34" t="str">
        <x:v>5.05/袋</x:v>
      </x:c>
      <x:c r="H348" s="34" t="n">
        <x:v>3.37</x:v>
      </x:c>
      <x:c r="I348" s="34"/>
      <x:c r="J348" s="34"/>
      <x:c r="K348" s="36"/>
      <x:c r="L348" s="22" t="str">
        <x:v>秘制底料·滇界定制</x:v>
      </x:c>
      <x:c r="M348" s="36" t="n">
        <x:v>0.84</x:v>
      </x:c>
      <x:c r="N348" s="22" t="str">
        <x:v>可能匹配待确认</x:v>
      </x:c>
    </x:row>
    <x:row r="349">
      <x:c r="A349" s="22" t="str">
        <x:v>锅底</x:v>
      </x:c>
      <x:c r="B349" s="22" t="str">
        <x:v>云滇特色酸辣锅底微辣</x:v>
      </x:c>
      <x:c r="C349" s="22" t="str">
        <x:v>红油</x:v>
      </x:c>
      <x:c r="D349" s="34" t="n">
        <x:v>50</x:v>
      </x:c>
      <x:c r="E349" s="34" t="n">
        <x:v>50</x:v>
      </x:c>
      <x:c r="F349" s="34" t="n">
        <x:v>100</x:v>
      </x:c>
      <x:c r="G349" s="34" t="n">
        <x:v>24.17</x:v>
      </x:c>
      <x:c r="H349" s="34" t="n">
        <x:v>2.42</x:v>
      </x:c>
      <x:c r="I349" s="34"/>
      <x:c r="J349" s="34"/>
      <x:c r="K349" s="36"/>
      <x:c r="L349" s="22" t="str">
        <x:v>火锅专用红油·滇界定制</x:v>
      </x:c>
      <x:c r="M349" s="36" t="n">
        <x:v>0.78</x:v>
      </x:c>
      <x:c r="N349" s="22" t="str">
        <x:v>可能匹配待确认</x:v>
      </x:c>
    </x:row>
    <x:row r="350">
      <x:c r="A350" s="22" t="str">
        <x:v>锅底</x:v>
      </x:c>
      <x:c r="B350" s="22" t="str">
        <x:v>云滇特色酸辣锅底微辣</x:v>
      </x:c>
      <x:c r="C350" s="22" t="str">
        <x:v>香芹段</x:v>
      </x:c>
      <x:c r="D350" s="34" t="n">
        <x:v>30</x:v>
      </x:c>
      <x:c r="E350" s="34" t="n">
        <x:v>32</x:v>
      </x:c>
      <x:c r="F350" s="34" t="n">
        <x:v>93.75</x:v>
      </x:c>
      <x:c r="G350" s="34" t="n">
        <x:v>6</x:v>
      </x:c>
      <x:c r="H350" s="34" t="n">
        <x:v>0.4</x:v>
      </x:c>
      <x:c r="I350" s="34"/>
      <x:c r="J350" s="34"/>
      <x:c r="K350" s="36"/>
      <x:c r="L350" s="22" t="str">
        <x:v>香椰乳</x:v>
      </x:c>
      <x:c r="M350" s="36" t="n">
        <x:v>0.3333</x:v>
      </x:c>
      <x:c r="N350" s="22" t="str">
        <x:v>未匹配</x:v>
      </x:c>
    </x:row>
    <x:row r="351">
      <x:c r="A351" s="22" t="str">
        <x:v>锅底</x:v>
      </x:c>
      <x:c r="B351" s="22" t="str">
        <x:v>云滇特色酸辣锅底微辣</x:v>
      </x:c>
      <x:c r="C351" s="22" t="str">
        <x:v>蒜苗段</x:v>
      </x:c>
      <x:c r="D351" s="34" t="n">
        <x:v>30</x:v>
      </x:c>
      <x:c r="E351" s="34" t="n">
        <x:v>31</x:v>
      </x:c>
      <x:c r="F351" s="34" t="n">
        <x:v>96.7741935483871</x:v>
      </x:c>
      <x:c r="G351" s="34" t="n">
        <x:v>6</x:v>
      </x:c>
      <x:c r="H351" s="34" t="n">
        <x:v>0.38</x:v>
      </x:c>
      <x:c r="I351" s="34"/>
      <x:c r="J351" s="34"/>
      <x:c r="K351" s="36"/>
      <x:c r="L351" s="22" t="str">
        <x:v>吊龙切片（吊龙前段）</x:v>
      </x:c>
      <x:c r="M351" s="36" t="n">
        <x:v>0.1818</x:v>
      </x:c>
      <x:c r="N351" s="22" t="str">
        <x:v>未匹配</x:v>
      </x:c>
    </x:row>
    <x:row r="352">
      <x:c r="A352" s="22" t="str">
        <x:v>锅底</x:v>
      </x:c>
      <x:c r="B352" s="22" t="str">
        <x:v>云滇特色酸辣锅底微辣</x:v>
      </x:c>
      <x:c r="C352" s="22" t="str">
        <x:v>调味粉</x:v>
      </x:c>
      <x:c r="D352" s="34" t="n">
        <x:v>50</x:v>
      </x:c>
      <x:c r="E352" s="34" t="n">
        <x:v>50</x:v>
      </x:c>
      <x:c r="F352" s="34" t="n">
        <x:v>100</x:v>
      </x:c>
      <x:c r="G352" s="34" t="n">
        <x:v>14.3</x:v>
      </x:c>
      <x:c r="H352" s="34" t="n">
        <x:v>1.43</x:v>
      </x:c>
      <x:c r="I352" s="34"/>
      <x:c r="J352" s="34"/>
      <x:c r="K352" s="36"/>
      <x:c r="L352" s="22" t="str">
        <x:v>汤底调味粉·滇界定制</x:v>
      </x:c>
      <x:c r="M352" s="36" t="n">
        <x:v>0.8067</x:v>
      </x:c>
      <x:c r="N352" s="22" t="str">
        <x:v>可能匹配待确认</x:v>
      </x:c>
    </x:row>
    <x:row r="353">
      <x:c r="A353" s="22" t="str">
        <x:v>锅底</x:v>
      </x:c>
      <x:c r="B353" s="22" t="str">
        <x:v>云滇特色酸辣锅底微辣</x:v>
      </x:c>
      <x:c r="C353" s="22" t="str">
        <x:v>白醋</x:v>
      </x:c>
      <x:c r="D353" s="34" t="n">
        <x:v>50</x:v>
      </x:c>
      <x:c r="E353" s="34" t="n">
        <x:v>50</x:v>
      </x:c>
      <x:c r="F353" s="34" t="n">
        <x:v>100</x:v>
      </x:c>
      <x:c r="G353" s="34" t="n">
        <x:v>4.84</x:v>
      </x:c>
      <x:c r="H353" s="34" t="n">
        <x:v>0.49</x:v>
      </x:c>
      <x:c r="I353" s="34"/>
      <x:c r="J353" s="34"/>
      <x:c r="K353" s="36"/>
      <x:c r="L353" s="22" t="str">
        <x:v>9°白米醋</x:v>
      </x:c>
      <x:c r="M353" s="36" t="n">
        <x:v>0.5714</x:v>
      </x:c>
      <x:c r="N353" s="22" t="str">
        <x:v>未匹配</x:v>
      </x:c>
    </x:row>
    <x:row r="354">
      <x:c r="A354" s="22" t="str">
        <x:v>锅底</x:v>
      </x:c>
      <x:c r="B354" s="22" t="str">
        <x:v>云滇特色酸辣锅底微辣</x:v>
      </x:c>
      <x:c r="C354" s="22" t="str">
        <x:v>酸萝卜汁</x:v>
      </x:c>
      <x:c r="D354" s="34" t="n">
        <x:v>50</x:v>
      </x:c>
      <x:c r="E354" s="34" t="n">
        <x:v>50</x:v>
      </x:c>
      <x:c r="F354" s="34" t="n">
        <x:v>100</x:v>
      </x:c>
      <x:c r="G354" s="34" t="n">
        <x:v>0</x:v>
      </x:c>
      <x:c r="H354" s="34" t="n">
        <x:v>0</x:v>
      </x:c>
      <x:c r="I354" s="34"/>
      <x:c r="J354" s="34"/>
      <x:c r="K354" s="36"/>
      <x:c r="L354" s="22" t="str">
        <x:v>胡萝卜果汁包</x:v>
      </x:c>
      <x:c r="M354" s="36" t="n">
        <x:v>0.6</x:v>
      </x:c>
      <x:c r="N354" s="22" t="str">
        <x:v>未匹配</x:v>
      </x:c>
    </x:row>
    <x:row r="355">
      <x:c r="A355" s="22" t="str">
        <x:v>锅底</x:v>
      </x:c>
      <x:c r="B355" s="22" t="str">
        <x:v>云滇特色酸辣锅底微辣</x:v>
      </x:c>
      <x:c r="C355" s="22" t="str">
        <x:v>灯笼椒</x:v>
      </x:c>
      <x:c r="D355" s="34" t="n">
        <x:v>5</x:v>
      </x:c>
      <x:c r="E355" s="34" t="n">
        <x:v>5</x:v>
      </x:c>
      <x:c r="F355" s="34" t="n">
        <x:v>100</x:v>
      </x:c>
      <x:c r="G355" s="34" t="n">
        <x:v>18.75</x:v>
      </x:c>
      <x:c r="H355" s="34" t="n">
        <x:v>0.19</x:v>
      </x:c>
      <x:c r="I355" s="34"/>
      <x:c r="J355" s="34"/>
      <x:c r="K355" s="36"/>
      <x:c r="L355" s="22" t="str">
        <x:v>特级灯笼椒</x:v>
      </x:c>
      <x:c r="M355" s="36" t="n">
        <x:v>0.86</x:v>
      </x:c>
      <x:c r="N355" s="22" t="str">
        <x:v>高相似待确认</x:v>
      </x:c>
    </x:row>
    <x:row r="356">
      <x:c r="A356" s="22" t="str">
        <x:v>锅底</x:v>
      </x:c>
      <x:c r="B356" s="22" t="str">
        <x:v>云滇特色酸辣锅底微辣</x:v>
      </x:c>
      <x:c r="C356" s="22" t="str">
        <x:v>丘北辣椒</x:v>
      </x:c>
      <x:c r="D356" s="34" t="n">
        <x:v>10</x:v>
      </x:c>
      <x:c r="E356" s="34" t="n">
        <x:v>10</x:v>
      </x:c>
      <x:c r="F356" s="34" t="n">
        <x:v>100</x:v>
      </x:c>
      <x:c r="G356" s="34" t="n">
        <x:v>18.75</x:v>
      </x:c>
      <x:c r="H356" s="34" t="n">
        <x:v>0.38</x:v>
      </x:c>
      <x:c r="I356" s="34"/>
      <x:c r="J356" s="34"/>
      <x:c r="K356" s="36"/>
      <x:c r="L356" s="22" t="str">
        <x:v>特级丘北辣椒</x:v>
      </x:c>
      <x:c r="M356" s="36" t="n">
        <x:v>0.8733</x:v>
      </x:c>
      <x:c r="N356" s="22" t="str">
        <x:v>高相似待确认</x:v>
      </x:c>
    </x:row>
    <x:row r="357">
      <x:c r="A357" s="22" t="str">
        <x:v>锅底</x:v>
      </x:c>
      <x:c r="B357" s="22" t="str">
        <x:v>云滇特色酸辣锅底微辣</x:v>
      </x:c>
      <x:c r="C357" s="22" t="str">
        <x:v>子弹头椒</x:v>
      </x:c>
      <x:c r="D357" s="34" t="n">
        <x:v>5</x:v>
      </x:c>
      <x:c r="E357" s="34" t="n">
        <x:v>5</x:v>
      </x:c>
      <x:c r="F357" s="34" t="n">
        <x:v>100</x:v>
      </x:c>
      <x:c r="G357" s="34" t="n">
        <x:v>18.75</x:v>
      </x:c>
      <x:c r="H357" s="34" t="n">
        <x:v>0.19</x:v>
      </x:c>
      <x:c r="I357" s="34"/>
      <x:c r="J357" s="34"/>
      <x:c r="K357" s="36"/>
      <x:c r="L357" s="22" t="str">
        <x:v>特级子弹头</x:v>
      </x:c>
      <x:c r="M357" s="36" t="n">
        <x:v>0.6667</x:v>
      </x:c>
      <x:c r="N357" s="22" t="str">
        <x:v>未匹配</x:v>
      </x:c>
    </x:row>
    <x:row r="358">
      <x:c r="A358" s="22" t="str">
        <x:v>锅底</x:v>
      </x:c>
      <x:c r="B358" s="22" t="str">
        <x:v>云滇特色酸辣锅底微辣</x:v>
      </x:c>
      <x:c r="C358" s="22" t="str">
        <x:v>番茄瓣</x:v>
      </x:c>
      <x:c r="D358" s="34" t="n">
        <x:v>100</x:v>
      </x:c>
      <x:c r="E358" s="34" t="n">
        <x:v>101</x:v>
      </x:c>
      <x:c r="F358" s="34" t="n">
        <x:v>99.00990099009901</x:v>
      </x:c>
      <x:c r="G358" s="34" t="n">
        <x:v>5</x:v>
      </x:c>
      <x:c r="H358" s="34" t="n">
        <x:v>1</x:v>
      </x:c>
      <x:c r="I358" s="34"/>
      <x:c r="J358" s="34"/>
      <x:c r="K358" s="36"/>
      <x:c r="L358" s="22" t="str">
        <x:v>龙爪菇</x:v>
      </x:c>
      <x:c r="M358" s="36" t="n">
        <x:v>0</x:v>
      </x:c>
      <x:c r="N358" s="22" t="str">
        <x:v>未匹配</x:v>
      </x:c>
    </x:row>
    <x:row r="359">
      <x:c r="A359" s="22" t="str">
        <x:v>锅底</x:v>
      </x:c>
      <x:c r="B359" s="22" t="str">
        <x:v>云滇特色酸辣锅底微辣</x:v>
      </x:c>
      <x:c r="C359" s="22" t="str">
        <x:v>薄荷叶</x:v>
      </x:c>
      <x:c r="D359" s="34" t="n">
        <x:v>2</x:v>
      </x:c>
      <x:c r="E359" s="34" t="n">
        <x:v>2.8</x:v>
      </x:c>
      <x:c r="F359" s="34" t="n">
        <x:v>71.42857142857143</x:v>
      </x:c>
      <x:c r="G359" s="34" t="n">
        <x:v>10</x:v>
      </x:c>
      <x:c r="H359" s="34" t="n">
        <x:v>0.1</x:v>
      </x:c>
      <x:c r="I359" s="34"/>
      <x:c r="J359" s="34"/>
      <x:c r="K359" s="36"/>
      <x:c r="L359" s="22" t="str">
        <x:v>龙爪菇</x:v>
      </x:c>
      <x:c r="M359" s="36" t="n">
        <x:v>0</x:v>
      </x:c>
      <x:c r="N359" s="22" t="str">
        <x:v>未匹配</x:v>
      </x:c>
    </x:row>
    <x:row r="360">
      <x:c r="A360" s="22" t="str">
        <x:v>锅底</x:v>
      </x:c>
      <x:c r="B360" s="22" t="str">
        <x:v>八鲜山菌·武定跑山鸡汤锅冻菇</x:v>
      </x:c>
      <x:c r="C360" s="22" t="str">
        <x:v>野生美味牛肝菌</x:v>
      </x:c>
      <x:c r="D360" s="34" t="str">
        <x:v>40</x:v>
      </x:c>
      <x:c r="E360" s="34" t="n">
        <x:v>53.33</x:v>
      </x:c>
      <x:c r="F360" s="34" t="n">
        <x:v>75.00468779298706</x:v>
      </x:c>
      <x:c r="G360" s="34" t="n">
        <x:v>42.5</x:v>
      </x:c>
      <x:c r="H360" s="34" t="n">
        <x:v>4.53</x:v>
      </x:c>
      <x:c r="I360" s="34" t="n">
        <x:v>65.23</x:v>
      </x:c>
      <x:c r="J360" s="34" t="n">
        <x:v>239</x:v>
      </x:c>
      <x:c r="K360" s="36" t="n">
        <x:v>0.727</x:v>
      </x:c>
      <x:c r="L360" s="22" t="str">
        <x:v>冻美味牛肝菌</x:v>
      </x:c>
      <x:c r="M360" s="36" t="n">
        <x:v>0.7692</x:v>
      </x:c>
      <x:c r="N360" s="22" t="str">
        <x:v>可能匹配待确认</x:v>
      </x:c>
    </x:row>
    <x:row r="361">
      <x:c r="A361" s="22" t="str">
        <x:v>锅底</x:v>
      </x:c>
      <x:c r="B361" s="22" t="str">
        <x:v>八鲜山菌·武定跑山鸡汤锅冻菇</x:v>
      </x:c>
      <x:c r="C361" s="22" t="str">
        <x:v>野生黄牛肝菌</x:v>
      </x:c>
      <x:c r="D361" s="34" t="str">
        <x:v>40</x:v>
      </x:c>
      <x:c r="E361" s="34" t="n">
        <x:v>53.33</x:v>
      </x:c>
      <x:c r="F361" s="34" t="n">
        <x:v>75.00468779298706</x:v>
      </x:c>
      <x:c r="G361" s="34" t="n">
        <x:v>60</x:v>
      </x:c>
      <x:c r="H361" s="34" t="n">
        <x:v>6.4</x:v>
      </x:c>
      <x:c r="I361" s="34"/>
      <x:c r="J361" s="34"/>
      <x:c r="K361" s="36"/>
      <x:c r="L361" s="22" t="str">
        <x:v>冻黄牛肝菌</x:v>
      </x:c>
      <x:c r="M361" s="36" t="n">
        <x:v>0.7273</x:v>
      </x:c>
      <x:c r="N361" s="22" t="str">
        <x:v>可能匹配待确认</x:v>
      </x:c>
    </x:row>
    <x:row r="362">
      <x:c r="A362" s="22" t="str">
        <x:v>锅底</x:v>
      </x:c>
      <x:c r="B362" s="22" t="str">
        <x:v>八鲜山菌·武定跑山鸡汤锅冻菇</x:v>
      </x:c>
      <x:c r="C362" s="22" t="str">
        <x:v>羊肚菌</x:v>
      </x:c>
      <x:c r="D362" s="34" t="n">
        <x:v>30</x:v>
      </x:c>
      <x:c r="E362" s="34" t="n">
        <x:v>30.9</x:v>
      </x:c>
      <x:c r="F362" s="34" t="n">
        <x:v>97.0873786407767</x:v>
      </x:c>
      <x:c r="G362" s="34" t="n">
        <x:v>65</x:v>
      </x:c>
      <x:c r="H362" s="34" t="n">
        <x:v>4</x:v>
      </x:c>
      <x:c r="I362" s="34"/>
      <x:c r="J362" s="34"/>
      <x:c r="K362" s="36"/>
      <x:c r="L362" s="22" t="str">
        <x:v>羊肚</x:v>
      </x:c>
      <x:c r="M362" s="36" t="n">
        <x:v>0.8733</x:v>
      </x:c>
      <x:c r="N362" s="22" t="str">
        <x:v>高相似待确认</x:v>
      </x:c>
    </x:row>
    <x:row r="363">
      <x:c r="A363" s="22" t="str">
        <x:v>锅底</x:v>
      </x:c>
      <x:c r="B363" s="22" t="str">
        <x:v>八鲜山菌·武定跑山鸡汤锅冻菇</x:v>
      </x:c>
      <x:c r="C363" s="22" t="str">
        <x:v>见手青</x:v>
      </x:c>
      <x:c r="D363" s="34" t="n">
        <x:v>40</x:v>
      </x:c>
      <x:c r="E363" s="34" t="n">
        <x:v>41</x:v>
      </x:c>
      <x:c r="F363" s="34" t="n">
        <x:v>97.5609756097561</x:v>
      </x:c>
      <x:c r="G363" s="34" t="n">
        <x:v>55</x:v>
      </x:c>
      <x:c r="H363" s="34" t="n">
        <x:v>4.5</x:v>
      </x:c>
      <x:c r="I363" s="34"/>
      <x:c r="J363" s="34"/>
      <x:c r="K363" s="36"/>
      <x:c r="L363" s="22" t="str">
        <x:v>见手青啤酒</x:v>
      </x:c>
      <x:c r="M363" s="36" t="n">
        <x:v>0.86</x:v>
      </x:c>
      <x:c r="N363" s="22" t="str">
        <x:v>高相似待确认</x:v>
      </x:c>
    </x:row>
    <x:row r="364">
      <x:c r="A364" s="22" t="str">
        <x:v>锅底</x:v>
      </x:c>
      <x:c r="B364" s="22" t="str">
        <x:v>八鲜山菌·武定跑山鸡汤锅冻菇</x:v>
      </x:c>
      <x:c r="C364" s="22" t="str">
        <x:v>野生老人头</x:v>
      </x:c>
      <x:c r="D364" s="34" t="str">
        <x:v>40</x:v>
      </x:c>
      <x:c r="E364" s="34" t="n">
        <x:v>50</x:v>
      </x:c>
      <x:c r="F364" s="34" t="n">
        <x:v>80</x:v>
      </x:c>
      <x:c r="G364" s="34" t="n">
        <x:v>42.5</x:v>
      </x:c>
      <x:c r="H364" s="34" t="n">
        <x:v>4.53</x:v>
      </x:c>
      <x:c r="I364" s="34"/>
      <x:c r="J364" s="34"/>
      <x:c r="K364" s="36"/>
      <x:c r="L364" s="22" t="str">
        <x:v>老人头（鲜菌）</x:v>
      </x:c>
      <x:c r="M364" s="36" t="n">
        <x:v>0.6</x:v>
      </x:c>
      <x:c r="N364" s="22" t="str">
        <x:v>未匹配</x:v>
      </x:c>
    </x:row>
    <x:row r="365">
      <x:c r="A365" s="22" t="str">
        <x:v>锅底</x:v>
      </x:c>
      <x:c r="B365" s="22" t="str">
        <x:v>八鲜山菌·武定跑山鸡汤锅冻菇</x:v>
      </x:c>
      <x:c r="C365" s="22" t="str">
        <x:v>野生奶浆菌</x:v>
      </x:c>
      <x:c r="D365" s="34" t="str">
        <x:v>40</x:v>
      </x:c>
      <x:c r="E365" s="34" t="n">
        <x:v>50</x:v>
      </x:c>
      <x:c r="F365" s="34" t="n">
        <x:v>80</x:v>
      </x:c>
      <x:c r="G365" s="34" t="n">
        <x:v>42.5</x:v>
      </x:c>
      <x:c r="H365" s="34" t="n">
        <x:v>4.53</x:v>
      </x:c>
      <x:c r="I365" s="34"/>
      <x:c r="J365" s="34"/>
      <x:c r="K365" s="36"/>
      <x:c r="L365" s="22" t="str">
        <x:v>冻奶浆菌</x:v>
      </x:c>
      <x:c r="M365" s="36" t="n">
        <x:v>0.6667</x:v>
      </x:c>
      <x:c r="N365" s="22" t="str">
        <x:v>未匹配</x:v>
      </x:c>
    </x:row>
    <x:row r="366">
      <x:c r="A366" s="22" t="str">
        <x:v>锅底</x:v>
      </x:c>
      <x:c r="B366" s="22" t="str">
        <x:v>八鲜山菌·武定跑山鸡汤锅冻菇</x:v>
      </x:c>
      <x:c r="C366" s="22" t="str">
        <x:v>野生青头菌</x:v>
      </x:c>
      <x:c r="D366" s="34" t="str">
        <x:v>40</x:v>
      </x:c>
      <x:c r="E366" s="34" t="n">
        <x:v>53.33</x:v>
      </x:c>
      <x:c r="F366" s="34" t="n">
        <x:v>75.00468779298706</x:v>
      </x:c>
      <x:c r="G366" s="34" t="n">
        <x:v>75</x:v>
      </x:c>
      <x:c r="H366" s="34" t="n">
        <x:v>8</x:v>
      </x:c>
      <x:c r="I366" s="34"/>
      <x:c r="J366" s="34"/>
      <x:c r="K366" s="36"/>
      <x:c r="L366" s="22" t="str">
        <x:v>冻青头菌</x:v>
      </x:c>
      <x:c r="M366" s="36" t="n">
        <x:v>0.6667</x:v>
      </x:c>
      <x:c r="N366" s="22" t="str">
        <x:v>未匹配</x:v>
      </x:c>
    </x:row>
    <x:row r="367">
      <x:c r="A367" s="22" t="str">
        <x:v>锅底</x:v>
      </x:c>
      <x:c r="B367" s="22" t="str">
        <x:v>八鲜山菌·武定跑山鸡汤锅冻菇</x:v>
      </x:c>
      <x:c r="C367" s="22" t="str">
        <x:v>红乳牛肝菌</x:v>
      </x:c>
      <x:c r="D367" s="34" t="n">
        <x:v>80</x:v>
      </x:c>
      <x:c r="E367" s="34" t="n">
        <x:v>100</x:v>
      </x:c>
      <x:c r="F367" s="34" t="n">
        <x:v>80</x:v>
      </x:c>
      <x:c r="G367" s="34" t="n">
        <x:v>20.83</x:v>
      </x:c>
      <x:c r="H367" s="34" t="n">
        <x:v>4.17</x:v>
      </x:c>
      <x:c r="I367" s="34"/>
      <x:c r="J367" s="34"/>
      <x:c r="K367" s="36"/>
      <x:c r="L367" s="22" t="str">
        <x:v>桶装盐渍红乳牛肝菌</x:v>
      </x:c>
      <x:c r="M367" s="36" t="n">
        <x:v>0.8511</x:v>
      </x:c>
      <x:c r="N367" s="22" t="str">
        <x:v>可能匹配待确认</x:v>
      </x:c>
    </x:row>
    <x:row r="368">
      <x:c r="A368" s="22" t="str">
        <x:v>锅底</x:v>
      </x:c>
      <x:c r="B368" s="22" t="str">
        <x:v>八鲜山菌·武定跑山鸡汤锅冻菇</x:v>
      </x:c>
      <x:c r="C368" s="22" t="str">
        <x:v>红枣</x:v>
      </x:c>
      <x:c r="D368" s="34" t="n">
        <x:v>10</x:v>
      </x:c>
      <x:c r="E368" s="34" t="n">
        <x:v>10</x:v>
      </x:c>
      <x:c r="F368" s="34" t="n">
        <x:v>100</x:v>
      </x:c>
      <x:c r="G368" s="34" t="n">
        <x:v>7.25</x:v>
      </x:c>
      <x:c r="H368" s="34" t="n">
        <x:v>0.15</x:v>
      </x:c>
      <x:c r="I368" s="34"/>
      <x:c r="J368" s="34"/>
      <x:c r="K368" s="36"/>
      <x:c r="L368" s="22" t="str">
        <x:v>红枣</x:v>
      </x:c>
      <x:c r="M368" s="36" t="n">
        <x:v>1</x:v>
      </x:c>
      <x:c r="N368" s="22" t="str">
        <x:v>名称一致</x:v>
      </x:c>
    </x:row>
    <x:row r="369">
      <x:c r="A369" s="22" t="str">
        <x:v>锅底</x:v>
      </x:c>
      <x:c r="B369" s="22" t="str">
        <x:v>八鲜山菌·武定跑山鸡汤锅冻菇</x:v>
      </x:c>
      <x:c r="C369" s="22" t="str">
        <x:v>虫草花</x:v>
      </x:c>
      <x:c r="D369" s="34" t="n">
        <x:v>10</x:v>
      </x:c>
      <x:c r="E369" s="34" t="n">
        <x:v>10</x:v>
      </x:c>
      <x:c r="F369" s="34" t="n">
        <x:v>100</x:v>
      </x:c>
      <x:c r="G369" s="34" t="n">
        <x:v>8.5</x:v>
      </x:c>
      <x:c r="H369" s="34" t="n">
        <x:v>0.17</x:v>
      </x:c>
      <x:c r="I369" s="34"/>
      <x:c r="J369" s="34"/>
      <x:c r="K369" s="36"/>
      <x:c r="L369" s="22" t="str">
        <x:v>虫草花</x:v>
      </x:c>
      <x:c r="M369" s="36" t="n">
        <x:v>1</x:v>
      </x:c>
      <x:c r="N369" s="22" t="str">
        <x:v>名称一致</x:v>
      </x:c>
    </x:row>
    <x:row r="370">
      <x:c r="A370" s="22" t="str">
        <x:v>锅底</x:v>
      </x:c>
      <x:c r="B370" s="22" t="str">
        <x:v>八鲜山菌·武定跑山鸡汤锅冻菇</x:v>
      </x:c>
      <x:c r="C370" s="22" t="str">
        <x:v>枸杞</x:v>
      </x:c>
      <x:c r="D370" s="34" t="n">
        <x:v>5</x:v>
      </x:c>
      <x:c r="E370" s="34" t="n">
        <x:v>5</x:v>
      </x:c>
      <x:c r="F370" s="34" t="n">
        <x:v>100</x:v>
      </x:c>
      <x:c r="G370" s="34" t="n">
        <x:v>28.8</x:v>
      </x:c>
      <x:c r="H370" s="34" t="n">
        <x:v>0.29</x:v>
      </x:c>
      <x:c r="I370" s="34"/>
      <x:c r="J370" s="34"/>
      <x:c r="K370" s="36"/>
      <x:c r="L370" s="22" t="str">
        <x:v>枸杞</x:v>
      </x:c>
      <x:c r="M370" s="36" t="n">
        <x:v>1</x:v>
      </x:c>
      <x:c r="N370" s="22" t="str">
        <x:v>名称一致</x:v>
      </x:c>
    </x:row>
    <x:row r="371">
      <x:c r="A371" s="22" t="str">
        <x:v>锅底</x:v>
      </x:c>
      <x:c r="B371" s="22" t="str">
        <x:v>八鲜山菌·武定跑山鸡汤锅冻菇</x:v>
      </x:c>
      <x:c r="C371" s="22" t="str">
        <x:v>味粉</x:v>
      </x:c>
      <x:c r="D371" s="34" t="n">
        <x:v>20</x:v>
      </x:c>
      <x:c r="E371" s="34" t="n">
        <x:v>20</x:v>
      </x:c>
      <x:c r="F371" s="34" t="n">
        <x:v>100</x:v>
      </x:c>
      <x:c r="G371" s="34" t="n">
        <x:v>14.3</x:v>
      </x:c>
      <x:c r="H371" s="34" t="n">
        <x:v>0.57</x:v>
      </x:c>
      <x:c r="I371" s="34"/>
      <x:c r="J371" s="34"/>
      <x:c r="K371" s="36"/>
      <x:c r="L371" s="22" t="str">
        <x:v>汤底调味粉·滇界定制</x:v>
      </x:c>
      <x:c r="M371" s="36" t="n">
        <x:v>0.7844</x:v>
      </x:c>
      <x:c r="N371" s="22" t="str">
        <x:v>可能匹配待确认</x:v>
      </x:c>
    </x:row>
    <x:row r="372">
      <x:c r="A372" s="22" t="str">
        <x:v>锅底</x:v>
      </x:c>
      <x:c r="B372" s="22" t="str">
        <x:v>八鲜山菌·武定跑山鸡汤锅冻菇</x:v>
      </x:c>
      <x:c r="C372" s="22" t="str">
        <x:v>农夫山泉水</x:v>
      </x:c>
      <x:c r="D372" s="34" t="n">
        <x:v>1500</x:v>
      </x:c>
      <x:c r="E372" s="34" t="n">
        <x:v>1500</x:v>
      </x:c>
      <x:c r="F372" s="34" t="n">
        <x:v>100</x:v>
      </x:c>
      <x:c r="G372" s="34" t="n">
        <x:v>1.92</x:v>
      </x:c>
      <x:c r="H372" s="34" t="n">
        <x:v>1.92</x:v>
      </x:c>
      <x:c r="I372" s="34"/>
      <x:c r="J372" s="34"/>
      <x:c r="K372" s="36"/>
      <x:c r="L372" s="22" t="str">
        <x:v>农夫山泉1.5升</x:v>
      </x:c>
      <x:c r="M372" s="36" t="n">
        <x:v>0.6154</x:v>
      </x:c>
      <x:c r="N372" s="22" t="str">
        <x:v>未匹配</x:v>
      </x:c>
    </x:row>
    <x:row r="373">
      <x:c r="A373" s="22" t="str">
        <x:v>锅底</x:v>
      </x:c>
      <x:c r="B373" s="22" t="str">
        <x:v>八鲜山菌·武定跑山鸡汤锅冻菇</x:v>
      </x:c>
      <x:c r="C373" s="22" t="str">
        <x:v>生姜</x:v>
      </x:c>
      <x:c r="D373" s="34" t="n">
        <x:v>10</x:v>
      </x:c>
      <x:c r="E373" s="34" t="n">
        <x:v>10</x:v>
      </x:c>
      <x:c r="F373" s="34" t="n">
        <x:v>100</x:v>
      </x:c>
      <x:c r="G373" s="34" t="n">
        <x:v>6</x:v>
      </x:c>
      <x:c r="H373" s="34" t="n">
        <x:v>0.12</x:v>
      </x:c>
      <x:c r="I373" s="34"/>
      <x:c r="J373" s="34"/>
      <x:c r="K373" s="36"/>
      <x:c r="L373" s="22" t="str">
        <x:v>生蚝</x:v>
      </x:c>
      <x:c r="M373" s="36" t="n">
        <x:v>0.5</x:v>
      </x:c>
      <x:c r="N373" s="22" t="str">
        <x:v>未匹配</x:v>
      </x:c>
    </x:row>
    <x:row r="374">
      <x:c r="A374" s="22" t="str">
        <x:v>锅底</x:v>
      </x:c>
      <x:c r="B374" s="22" t="str">
        <x:v>八鲜山菌·武定跑山鸡汤锅冻菇</x:v>
      </x:c>
      <x:c r="C374" s="22" t="str">
        <x:v>火腿</x:v>
      </x:c>
      <x:c r="D374" s="34" t="n">
        <x:v>50</x:v>
      </x:c>
      <x:c r="E374" s="34" t="n">
        <x:v>50</x:v>
      </x:c>
      <x:c r="F374" s="34" t="n">
        <x:v>100</x:v>
      </x:c>
      <x:c r="G374" s="34" t="n">
        <x:v>49</x:v>
      </x:c>
      <x:c r="H374" s="34" t="n">
        <x:v>4.9</x:v>
      </x:c>
      <x:c r="I374" s="34"/>
      <x:c r="J374" s="34"/>
      <x:c r="K374" s="36"/>
      <x:c r="L374" s="22" t="str">
        <x:v>云南腊火腿</x:v>
      </x:c>
      <x:c r="M374" s="36" t="n">
        <x:v>0.82</x:v>
      </x:c>
      <x:c r="N374" s="22" t="str">
        <x:v>可能匹配待确认</x:v>
      </x:c>
    </x:row>
    <x:row r="375">
      <x:c r="A375" s="22" t="str">
        <x:v>锅底</x:v>
      </x:c>
      <x:c r="B375" s="22" t="str">
        <x:v>八鲜山菌·武定跑山鸡汤锅冻菇</x:v>
      </x:c>
      <x:c r="C375" s="22" t="str">
        <x:v>龙爪</x:v>
      </x:c>
      <x:c r="D375" s="34" t="n">
        <x:v>50</x:v>
      </x:c>
      <x:c r="E375" s="34" t="n">
        <x:v>55.55</x:v>
      </x:c>
      <x:c r="F375" s="34" t="n">
        <x:v>90.00900090009002</x:v>
      </x:c>
      <x:c r="G375" s="34" t="n">
        <x:v>26.5</x:v>
      </x:c>
      <x:c r="H375" s="34" t="n">
        <x:v>2.95</x:v>
      </x:c>
      <x:c r="I375" s="34"/>
      <x:c r="J375" s="34"/>
      <x:c r="K375" s="36"/>
      <x:c r="L375" s="22" t="str">
        <x:v>龙爪菇</x:v>
      </x:c>
      <x:c r="M375" s="36" t="n">
        <x:v>0.8733</x:v>
      </x:c>
      <x:c r="N375" s="22" t="str">
        <x:v>高相似待确认</x:v>
      </x:c>
    </x:row>
    <x:row r="376">
      <x:c r="A376" s="22" t="str">
        <x:v>锅底</x:v>
      </x:c>
      <x:c r="B376" s="22" t="str">
        <x:v>八鲜山菌·武定跑山鸡汤锅冻菇</x:v>
      </x:c>
      <x:c r="C376" s="22" t="str">
        <x:v>跑山鸡/盒</x:v>
      </x:c>
      <x:c r="D376" s="34" t="n">
        <x:v>1</x:v>
      </x:c>
      <x:c r="E376" s="34" t="n">
        <x:v>1</x:v>
      </x:c>
      <x:c r="F376" s="34" t="n">
        <x:v>100</x:v>
      </x:c>
      <x:c r="G376" s="34" t="n">
        <x:v>13.5</x:v>
      </x:c>
      <x:c r="H376" s="34" t="n">
        <x:v>13.5</x:v>
      </x:c>
      <x:c r="I376" s="34"/>
      <x:c r="J376" s="34"/>
      <x:c r="K376" s="36"/>
      <x:c r="L376" s="22" t="str">
        <x:v>鸡架</x:v>
      </x:c>
      <x:c r="M376" s="36" t="n">
        <x:v>0.3333</x:v>
      </x:c>
      <x:c r="N376" s="22" t="str">
        <x:v>未匹配</x:v>
      </x:c>
    </x:row>
    <x:row r="377">
      <x:c r="A377" s="22" t="str">
        <x:v>锅底</x:v>
      </x:c>
      <x:c r="B377" s="22" t="str">
        <x:v>海鲜菌菇粥底锅</x:v>
      </x:c>
      <x:c r="C377" s="22" t="str">
        <x:v>跑山鸡/盒</x:v>
      </x:c>
      <x:c r="D377" s="34" t="n">
        <x:v>1</x:v>
      </x:c>
      <x:c r="E377" s="34" t="n">
        <x:v>1</x:v>
      </x:c>
      <x:c r="F377" s="34" t="n">
        <x:v>100</x:v>
      </x:c>
      <x:c r="G377" s="34" t="n">
        <x:v>13.5</x:v>
      </x:c>
      <x:c r="H377" s="34" t="n">
        <x:v>13.5</x:v>
      </x:c>
      <x:c r="I377" s="34" t="n">
        <x:v>98.5</x:v>
      </x:c>
      <x:c r="J377" s="34" t="n">
        <x:v>299</x:v>
      </x:c>
      <x:c r="K377" s="36" t="n">
        <x:v>0.6688</x:v>
      </x:c>
      <x:c r="L377" s="22" t="str">
        <x:v>鸡架</x:v>
      </x:c>
      <x:c r="M377" s="36" t="n">
        <x:v>0.3333</x:v>
      </x:c>
      <x:c r="N377" s="22" t="str">
        <x:v>未匹配</x:v>
      </x:c>
    </x:row>
    <x:row r="378">
      <x:c r="A378" s="22" t="str">
        <x:v>锅底</x:v>
      </x:c>
      <x:c r="B378" s="22" t="str">
        <x:v>海鲜菌菇粥底锅</x:v>
      </x:c>
      <x:c r="C378" s="22" t="str">
        <x:v>紫山药(切丁)</x:v>
      </x:c>
      <x:c r="D378" s="34" t="n">
        <x:v>50</x:v>
      </x:c>
      <x:c r="E378" s="34" t="n">
        <x:v>69.45</x:v>
      </x:c>
      <x:c r="F378" s="34" t="n">
        <x:v>71.99424046076314</x:v>
      </x:c>
      <x:c r="G378" s="34" t="n">
        <x:v>10</x:v>
      </x:c>
      <x:c r="H378" s="34" t="n">
        <x:v>1.39</x:v>
      </x:c>
      <x:c r="I378" s="34"/>
      <x:c r="J378" s="34"/>
      <x:c r="K378" s="36"/>
      <x:c r="L378" s="22" t="str">
        <x:v>米布丁</x:v>
      </x:c>
      <x:c r="M378" s="36" t="n">
        <x:v>0.25</x:v>
      </x:c>
      <x:c r="N378" s="22" t="str">
        <x:v>未匹配</x:v>
      </x:c>
    </x:row>
    <x:row r="379">
      <x:c r="A379" s="22" t="str">
        <x:v>锅底</x:v>
      </x:c>
      <x:c r="B379" s="22" t="str">
        <x:v>海鲜菌菇粥底锅</x:v>
      </x:c>
      <x:c r="C379" s="22" t="str">
        <x:v>虫草花</x:v>
      </x:c>
      <x:c r="D379" s="34" t="n">
        <x:v>50</x:v>
      </x:c>
      <x:c r="E379" s="34" t="n">
        <x:v>50</x:v>
      </x:c>
      <x:c r="F379" s="34" t="n">
        <x:v>100</x:v>
      </x:c>
      <x:c r="G379" s="34" t="n">
        <x:v>8.5</x:v>
      </x:c>
      <x:c r="H379" s="34" t="n">
        <x:v>0.85</x:v>
      </x:c>
      <x:c r="I379" s="34"/>
      <x:c r="J379" s="34"/>
      <x:c r="K379" s="36"/>
      <x:c r="L379" s="22" t="str">
        <x:v>虫草花</x:v>
      </x:c>
      <x:c r="M379" s="36" t="n">
        <x:v>1</x:v>
      </x:c>
      <x:c r="N379" s="22" t="str">
        <x:v>名称一致</x:v>
      </x:c>
    </x:row>
    <x:row r="380">
      <x:c r="A380" s="22" t="str">
        <x:v>锅底</x:v>
      </x:c>
      <x:c r="B380" s="22" t="str">
        <x:v>海鲜菌菇粥底锅</x:v>
      </x:c>
      <x:c r="C380" s="22" t="str">
        <x:v>见手青</x:v>
      </x:c>
      <x:c r="D380" s="34" t="n">
        <x:v>60</x:v>
      </x:c>
      <x:c r="E380" s="34" t="n">
        <x:v>61</x:v>
      </x:c>
      <x:c r="F380" s="34" t="n">
        <x:v>98.36065573770492</x:v>
      </x:c>
      <x:c r="G380" s="34" t="n">
        <x:v>55</x:v>
      </x:c>
      <x:c r="H380" s="34" t="n">
        <x:v>6.71</x:v>
      </x:c>
      <x:c r="I380" s="34"/>
      <x:c r="J380" s="34"/>
      <x:c r="K380" s="36"/>
      <x:c r="L380" s="22" t="str">
        <x:v>见手青啤酒</x:v>
      </x:c>
      <x:c r="M380" s="36" t="n">
        <x:v>0.86</x:v>
      </x:c>
      <x:c r="N380" s="22" t="str">
        <x:v>高相似待确认</x:v>
      </x:c>
    </x:row>
    <x:row r="381">
      <x:c r="A381" s="22" t="str">
        <x:v>锅底</x:v>
      </x:c>
      <x:c r="B381" s="22" t="str">
        <x:v>海鲜菌菇粥底锅</x:v>
      </x:c>
      <x:c r="C381" s="22" t="str">
        <x:v>赤松茸</x:v>
      </x:c>
      <x:c r="D381" s="34" t="n">
        <x:v>60</x:v>
      </x:c>
      <x:c r="E381" s="34" t="n">
        <x:v>65.9</x:v>
      </x:c>
      <x:c r="F381" s="34" t="n">
        <x:v>91.04704097116843</x:v>
      </x:c>
      <x:c r="G381" s="34" t="n">
        <x:v>24.45</x:v>
      </x:c>
      <x:c r="H381" s="34" t="n">
        <x:v>3.23</x:v>
      </x:c>
      <x:c r="I381" s="34"/>
      <x:c r="J381" s="34"/>
      <x:c r="K381" s="36"/>
      <x:c r="L381" s="22" t="str">
        <x:v>赤松茸</x:v>
      </x:c>
      <x:c r="M381" s="36" t="n">
        <x:v>1</x:v>
      </x:c>
      <x:c r="N381" s="22" t="str">
        <x:v>名称一致</x:v>
      </x:c>
    </x:row>
    <x:row r="382">
      <x:c r="A382" s="22" t="str">
        <x:v>锅底</x:v>
      </x:c>
      <x:c r="B382" s="22" t="str">
        <x:v>海鲜菌菇粥底锅</x:v>
      </x:c>
      <x:c r="C382" s="22" t="str">
        <x:v>香蕈（一切四）</x:v>
      </x:c>
      <x:c r="D382" s="34" t="n">
        <x:v>70</x:v>
      </x:c>
      <x:c r="E382" s="34" t="n">
        <x:v>75</x:v>
      </x:c>
      <x:c r="F382" s="34" t="n">
        <x:v>93.33333333333333</x:v>
      </x:c>
      <x:c r="G382" s="34" t="n">
        <x:v>37.5</x:v>
      </x:c>
      <x:c r="H382" s="34" t="n">
        <x:v>5.63</x:v>
      </x:c>
      <x:c r="I382" s="34"/>
      <x:c r="J382" s="34"/>
      <x:c r="K382" s="36"/>
      <x:c r="L382" s="22" t="str">
        <x:v>香椰乳</x:v>
      </x:c>
      <x:c r="M382" s="36" t="n">
        <x:v>0.25</x:v>
      </x:c>
      <x:c r="N382" s="22" t="str">
        <x:v>未匹配</x:v>
      </x:c>
    </x:row>
    <x:row r="383">
      <x:c r="A383" s="22" t="str">
        <x:v>锅底</x:v>
      </x:c>
      <x:c r="B383" s="22" t="str">
        <x:v>海鲜菌菇粥底锅</x:v>
      </x:c>
      <x:c r="C383" s="22" t="str">
        <x:v>红乳牛肝菌</x:v>
      </x:c>
      <x:c r="D383" s="34" t="n">
        <x:v>70</x:v>
      </x:c>
      <x:c r="E383" s="34" t="n">
        <x:v>87</x:v>
      </x:c>
      <x:c r="F383" s="34" t="n">
        <x:v>80.45977011494253</x:v>
      </x:c>
      <x:c r="G383" s="34" t="n">
        <x:v>20.83</x:v>
      </x:c>
      <x:c r="H383" s="34" t="n">
        <x:v>3.63</x:v>
      </x:c>
      <x:c r="I383" s="34"/>
      <x:c r="J383" s="34"/>
      <x:c r="K383" s="36"/>
      <x:c r="L383" s="22" t="str">
        <x:v>桶装盐渍红乳牛肝菌</x:v>
      </x:c>
      <x:c r="M383" s="36" t="n">
        <x:v>0.8511</x:v>
      </x:c>
      <x:c r="N383" s="22" t="str">
        <x:v>可能匹配待确认</x:v>
      </x:c>
    </x:row>
    <x:row r="384">
      <x:c r="A384" s="22" t="str">
        <x:v>锅底</x:v>
      </x:c>
      <x:c r="B384" s="22" t="str">
        <x:v>海鲜菌菇粥底锅</x:v>
      </x:c>
      <x:c r="C384" s="22" t="str">
        <x:v>红枣</x:v>
      </x:c>
      <x:c r="D384" s="34" t="n">
        <x:v>10</x:v>
      </x:c>
      <x:c r="E384" s="34" t="n">
        <x:v>10</x:v>
      </x:c>
      <x:c r="F384" s="34" t="n">
        <x:v>100</x:v>
      </x:c>
      <x:c r="G384" s="34" t="n">
        <x:v>7.25</x:v>
      </x:c>
      <x:c r="H384" s="34" t="n">
        <x:v>0.15</x:v>
      </x:c>
      <x:c r="I384" s="34"/>
      <x:c r="J384" s="34"/>
      <x:c r="K384" s="36"/>
      <x:c r="L384" s="22" t="str">
        <x:v>红枣</x:v>
      </x:c>
      <x:c r="M384" s="36" t="n">
        <x:v>1</x:v>
      </x:c>
      <x:c r="N384" s="22" t="str">
        <x:v>名称一致</x:v>
      </x:c>
    </x:row>
    <x:row r="385">
      <x:c r="A385" s="22" t="str">
        <x:v>锅底</x:v>
      </x:c>
      <x:c r="B385" s="22" t="str">
        <x:v>海鲜菌菇粥底锅</x:v>
      </x:c>
      <x:c r="C385" s="22" t="str">
        <x:v>枸杞</x:v>
      </x:c>
      <x:c r="D385" s="34" t="n">
        <x:v>8</x:v>
      </x:c>
      <x:c r="E385" s="34" t="n">
        <x:v>8</x:v>
      </x:c>
      <x:c r="F385" s="34" t="n">
        <x:v>100</x:v>
      </x:c>
      <x:c r="G385" s="34" t="n">
        <x:v>28.8</x:v>
      </x:c>
      <x:c r="H385" s="34" t="n">
        <x:v>0.46</x:v>
      </x:c>
      <x:c r="I385" s="34"/>
      <x:c r="J385" s="34"/>
      <x:c r="K385" s="36"/>
      <x:c r="L385" s="22" t="str">
        <x:v>枸杞</x:v>
      </x:c>
      <x:c r="M385" s="36" t="n">
        <x:v>1</x:v>
      </x:c>
      <x:c r="N385" s="22" t="str">
        <x:v>名称一致</x:v>
      </x:c>
    </x:row>
    <x:row r="386">
      <x:c r="A386" s="22" t="str">
        <x:v>锅底</x:v>
      </x:c>
      <x:c r="B386" s="22" t="str">
        <x:v>海鲜菌菇粥底锅</x:v>
      </x:c>
      <x:c r="C386" s="22" t="str">
        <x:v>辽参(切0.5cm)</x:v>
      </x:c>
      <x:c r="D386" s="34" t="n">
        <x:v>1</x:v>
      </x:c>
      <x:c r="E386" s="34" t="n">
        <x:v>1</x:v>
      </x:c>
      <x:c r="F386" s="34" t="n">
        <x:v>100</x:v>
      </x:c>
      <x:c r="G386" s="34" t="str">
        <x:v>120/8个</x:v>
      </x:c>
      <x:c r="H386" s="34" t="n">
        <x:v>15</x:v>
      </x:c>
      <x:c r="I386" s="34"/>
      <x:c r="J386" s="34"/>
      <x:c r="K386" s="36"/>
      <x:c r="L386" s="22" t="str">
        <x:v>农夫山泉1.5升</x:v>
      </x:c>
      <x:c r="M386" s="36" t="n">
        <x:v>0.25</x:v>
      </x:c>
      <x:c r="N386" s="22" t="str">
        <x:v>未匹配</x:v>
      </x:c>
    </x:row>
    <x:row r="387">
      <x:c r="A387" s="22" t="str">
        <x:v>锅底</x:v>
      </x:c>
      <x:c r="B387" s="22" t="str">
        <x:v>海鲜菌菇粥底锅</x:v>
      </x:c>
      <x:c r="C387" s="22" t="str">
        <x:v>干贝（泡发）</x:v>
      </x:c>
      <x:c r="D387" s="34" t="n">
        <x:v>30</x:v>
      </x:c>
      <x:c r="E387" s="34" t="n">
        <x:v>30</x:v>
      </x:c>
      <x:c r="F387" s="34" t="n">
        <x:v>100</x:v>
      </x:c>
      <x:c r="G387" s="34" t="n">
        <x:v>55</x:v>
      </x:c>
      <x:c r="H387" s="34" t="n">
        <x:v>3.3</x:v>
      </x:c>
      <x:c r="I387" s="34"/>
      <x:c r="J387" s="34"/>
      <x:c r="K387" s="36"/>
      <x:c r="L387" s="22" t="str">
        <x:v>冻干巴菌</x:v>
      </x:c>
      <x:c r="M387" s="36" t="n">
        <x:v>0.25</x:v>
      </x:c>
      <x:c r="N387" s="22" t="str">
        <x:v>未匹配</x:v>
      </x:c>
    </x:row>
    <x:row r="388">
      <x:c r="A388" s="22" t="str">
        <x:v>锅底</x:v>
      </x:c>
      <x:c r="B388" s="22" t="str">
        <x:v>海鲜菌菇粥底锅</x:v>
      </x:c>
      <x:c r="C388" s="22" t="str">
        <x:v>花胶(切1cm段)</x:v>
      </x:c>
      <x:c r="D388" s="34" t="n">
        <x:v>50</x:v>
      </x:c>
      <x:c r="E388" s="34" t="n">
        <x:v>51</x:v>
      </x:c>
      <x:c r="F388" s="34" t="n">
        <x:v>98.0392156862745</x:v>
      </x:c>
      <x:c r="G388" s="34" t="n">
        <x:v>32</x:v>
      </x:c>
      <x:c r="H388" s="34" t="n">
        <x:v>3.3</x:v>
      </x:c>
      <x:c r="I388" s="34"/>
      <x:c r="J388" s="34"/>
      <x:c r="K388" s="36"/>
      <x:c r="L388" s="22" t="str">
        <x:v>吊龙切片（吊龙前段）</x:v>
      </x:c>
      <x:c r="M388" s="36" t="n">
        <x:v>0.2667</x:v>
      </x:c>
      <x:c r="N388" s="22" t="str">
        <x:v>未匹配</x:v>
      </x:c>
    </x:row>
    <x:row r="389">
      <x:c r="A389" s="22" t="str">
        <x:v>锅底</x:v>
      </x:c>
      <x:c r="B389" s="22" t="str">
        <x:v>海鲜菌菇粥底锅</x:v>
      </x:c>
      <x:c r="C389" s="22" t="str">
        <x:v>冷冻五常大米块</x:v>
      </x:c>
      <x:c r="D389" s="34" t="n">
        <x:v>150</x:v>
      </x:c>
      <x:c r="E389" s="34" t="n">
        <x:v>150</x:v>
      </x:c>
      <x:c r="F389" s="34" t="n">
        <x:v>100</x:v>
      </x:c>
      <x:c r="G389" s="34" t="n">
        <x:v>4.75</x:v>
      </x:c>
      <x:c r="H389" s="34" t="n">
        <x:v>1.42</x:v>
      </x:c>
      <x:c r="I389" s="34"/>
      <x:c r="J389" s="34"/>
      <x:c r="K389" s="36"/>
      <x:c r="L389" s="22" t="str">
        <x:v>五常大米</x:v>
      </x:c>
      <x:c r="M389" s="36" t="n">
        <x:v>0.8543</x:v>
      </x:c>
      <x:c r="N389" s="22" t="str">
        <x:v>可能匹配待确认</x:v>
      </x:c>
    </x:row>
    <x:row r="390">
      <x:c r="A390" s="22" t="str">
        <x:v>锅底</x:v>
      </x:c>
      <x:c r="B390" s="22" t="str">
        <x:v>海鲜菌菇粥底锅</x:v>
      </x:c>
      <x:c r="C390" s="22" t="str">
        <x:v>味粉</x:v>
      </x:c>
      <x:c r="D390" s="34" t="n">
        <x:v>10</x:v>
      </x:c>
      <x:c r="E390" s="34" t="n">
        <x:v>10</x:v>
      </x:c>
      <x:c r="F390" s="34" t="n">
        <x:v>100</x:v>
      </x:c>
      <x:c r="G390" s="34" t="n">
        <x:v>14.3</x:v>
      </x:c>
      <x:c r="H390" s="34" t="n">
        <x:v>0.29</x:v>
      </x:c>
      <x:c r="I390" s="34"/>
      <x:c r="J390" s="34"/>
      <x:c r="K390" s="36"/>
      <x:c r="L390" s="22" t="str">
        <x:v>汤底调味粉·滇界定制</x:v>
      </x:c>
      <x:c r="M390" s="36" t="n">
        <x:v>0.7844</x:v>
      </x:c>
      <x:c r="N390" s="22" t="str">
        <x:v>可能匹配待确认</x:v>
      </x:c>
    </x:row>
    <x:row r="391">
      <x:c r="A391" s="22" t="str">
        <x:v>锅底</x:v>
      </x:c>
      <x:c r="B391" s="22" t="str">
        <x:v>海鲜菌菇粥底锅</x:v>
      </x:c>
      <x:c r="C391" s="22" t="str">
        <x:v>虾</x:v>
      </x:c>
      <x:c r="D391" s="34" t="n">
        <x:v>75</x:v>
      </x:c>
      <x:c r="E391" s="34" t="n">
        <x:v>75</x:v>
      </x:c>
      <x:c r="F391" s="34" t="n">
        <x:v>100</x:v>
      </x:c>
      <x:c r="G391" s="34" t="n">
        <x:v>33</x:v>
      </x:c>
      <x:c r="H391" s="34" t="n">
        <x:v>4.95</x:v>
      </x:c>
      <x:c r="I391" s="34"/>
      <x:c r="J391" s="34"/>
      <x:c r="K391" s="36"/>
      <x:c r="L391" s="22" t="str">
        <x:v>基围虾</x:v>
      </x:c>
      <x:c r="M391" s="36" t="n">
        <x:v>0.5</x:v>
      </x:c>
      <x:c r="N391" s="22" t="str">
        <x:v>未匹配</x:v>
      </x:c>
    </x:row>
    <x:row r="392">
      <x:c r="A392" s="22" t="str">
        <x:v>锅底</x:v>
      </x:c>
      <x:c r="B392" s="22" t="str">
        <x:v>海鲜菌菇粥底锅</x:v>
      </x:c>
      <x:c r="C392" s="22" t="str">
        <x:v>鲍鱼/个</x:v>
      </x:c>
      <x:c r="D392" s="34" t="n">
        <x:v>4</x:v>
      </x:c>
      <x:c r="E392" s="34" t="n">
        <x:v>4</x:v>
      </x:c>
      <x:c r="F392" s="34" t="n">
        <x:v>100</x:v>
      </x:c>
      <x:c r="G392" s="34" t="str">
        <x:v>4.6/个</x:v>
      </x:c>
      <x:c r="H392" s="34" t="n">
        <x:v>18.4</x:v>
      </x:c>
      <x:c r="I392" s="34"/>
      <x:c r="J392" s="34"/>
      <x:c r="K392" s="36"/>
      <x:c r="L392" s="22" t="str">
        <x:v>鲍鱼</x:v>
      </x:c>
      <x:c r="M392" s="36" t="n">
        <x:v>0.8733</x:v>
      </x:c>
      <x:c r="N392" s="22" t="str">
        <x:v>高相似待确认</x:v>
      </x:c>
    </x:row>
    <x:row r="393">
      <x:c r="A393" s="22" t="str">
        <x:v>锅底</x:v>
      </x:c>
      <x:c r="B393" s="22" t="str">
        <x:v>海鲜菌菇粥底锅</x:v>
      </x:c>
      <x:c r="C393" s="22" t="str">
        <x:v>八爪鱼</x:v>
      </x:c>
      <x:c r="D393" s="34" t="n">
        <x:v>100</x:v>
      </x:c>
      <x:c r="E393" s="34" t="n">
        <x:v>152</x:v>
      </x:c>
      <x:c r="F393" s="34" t="n">
        <x:v>65.78947368421052</x:v>
      </x:c>
      <x:c r="G393" s="34" t="n">
        <x:v>20</x:v>
      </x:c>
      <x:c r="H393" s="34" t="n">
        <x:v>6.1</x:v>
      </x:c>
      <x:c r="I393" s="34"/>
      <x:c r="J393" s="34"/>
      <x:c r="K393" s="36"/>
      <x:c r="L393" s="22" t="str">
        <x:v>八爪鱼</x:v>
      </x:c>
      <x:c r="M393" s="36" t="n">
        <x:v>1</x:v>
      </x:c>
      <x:c r="N393" s="22" t="str">
        <x:v>名称一致</x:v>
      </x:c>
    </x:row>
    <x:row r="394">
      <x:c r="A394" s="22" t="str">
        <x:v>锅底</x:v>
      </x:c>
      <x:c r="B394" s="22" t="str">
        <x:v>海鲜菌菇粥底锅</x:v>
      </x:c>
      <x:c r="C394" s="22" t="str">
        <x:v>生蚝/个</x:v>
      </x:c>
      <x:c r="D394" s="34" t="n">
        <x:v>2</x:v>
      </x:c>
      <x:c r="E394" s="34" t="n">
        <x:v>2</x:v>
      </x:c>
      <x:c r="F394" s="34" t="n">
        <x:v>100</x:v>
      </x:c>
      <x:c r="G394" s="34" t="str">
        <x:v>5.03/个</x:v>
      </x:c>
      <x:c r="H394" s="34" t="n">
        <x:v>10.07</x:v>
      </x:c>
      <x:c r="I394" s="34"/>
      <x:c r="J394" s="34"/>
      <x:c r="K394" s="36"/>
      <x:c r="L394" s="22" t="str">
        <x:v>生蚝</x:v>
      </x:c>
      <x:c r="M394" s="36" t="n">
        <x:v>0.8733</x:v>
      </x:c>
      <x:c r="N394" s="22" t="str">
        <x:v>高相似待确认</x:v>
      </x:c>
    </x:row>
    <x:row r="395">
      <x:c r="A395" s="22" t="str">
        <x:v>锅底</x:v>
      </x:c>
      <x:c r="B395" s="22" t="str">
        <x:v>十界菌菇汤锅配跑山鸡</x:v>
      </x:c>
      <x:c r="C395" s="22" t="str">
        <x:v>竹荪</x:v>
      </x:c>
      <x:c r="D395" s="34" t="n">
        <x:v>30</x:v>
      </x:c>
      <x:c r="E395" s="34" t="n">
        <x:v>30.3</x:v>
      </x:c>
      <x:c r="F395" s="34" t="n">
        <x:v>99.00990099009901</x:v>
      </x:c>
      <x:c r="G395" s="34" t="n">
        <x:v>115</x:v>
      </x:c>
      <x:c r="H395" s="34" t="n">
        <x:v>6.9</x:v>
      </x:c>
      <x:c r="I395" s="34" t="n">
        <x:v>49.98</x:v>
      </x:c>
      <x:c r="J395" s="34" t="n">
        <x:v>168</x:v>
      </x:c>
      <x:c r="K395" s="36" t="n">
        <x:v>0.7025</x:v>
      </x:c>
      <x:c r="L395" s="22" t="str">
        <x:v>竹荪</x:v>
      </x:c>
      <x:c r="M395" s="36" t="n">
        <x:v>1</x:v>
      </x:c>
      <x:c r="N395" s="22" t="str">
        <x:v>名称一致</x:v>
      </x:c>
    </x:row>
    <x:row r="396">
      <x:c r="A396" s="22" t="str">
        <x:v>锅底</x:v>
      </x:c>
      <x:c r="B396" s="22" t="str">
        <x:v>十界菌菇汤锅配跑山鸡</x:v>
      </x:c>
      <x:c r="C396" s="22" t="str">
        <x:v>猪肚菌</x:v>
      </x:c>
      <x:c r="D396" s="34" t="n">
        <x:v>50</x:v>
      </x:c>
      <x:c r="E396" s="34" t="n">
        <x:v>52.7</x:v>
      </x:c>
      <x:c r="F396" s="34" t="n">
        <x:v>94.87666034155598</x:v>
      </x:c>
      <x:c r="G396" s="34" t="n">
        <x:v>24</x:v>
      </x:c>
      <x:c r="H396" s="34" t="n">
        <x:v>2.53</x:v>
      </x:c>
      <x:c r="I396" s="34"/>
      <x:c r="J396" s="34"/>
      <x:c r="K396" s="36"/>
      <x:c r="L396" s="22" t="str">
        <x:v>猪肚菌</x:v>
      </x:c>
      <x:c r="M396" s="36" t="n">
        <x:v>1</x:v>
      </x:c>
      <x:c r="N396" s="22" t="str">
        <x:v>名称一致</x:v>
      </x:c>
    </x:row>
    <x:row r="397">
      <x:c r="A397" s="22" t="str">
        <x:v>锅底</x:v>
      </x:c>
      <x:c r="B397" s="22" t="str">
        <x:v>十界菌菇汤锅配跑山鸡</x:v>
      </x:c>
      <x:c r="C397" s="22" t="str">
        <x:v>滑子菇</x:v>
      </x:c>
      <x:c r="D397" s="34" t="n">
        <x:v>50</x:v>
      </x:c>
      <x:c r="E397" s="34" t="n">
        <x:v>52.7</x:v>
      </x:c>
      <x:c r="F397" s="34" t="n">
        <x:v>94.87666034155598</x:v>
      </x:c>
      <x:c r="G397" s="34" t="n">
        <x:v>17</x:v>
      </x:c>
      <x:c r="H397" s="34" t="n">
        <x:v>1.8</x:v>
      </x:c>
      <x:c r="I397" s="34"/>
      <x:c r="J397" s="34"/>
      <x:c r="K397" s="36"/>
      <x:c r="L397" s="22" t="str">
        <x:v>滑子菇</x:v>
      </x:c>
      <x:c r="M397" s="36" t="n">
        <x:v>1</x:v>
      </x:c>
      <x:c r="N397" s="22" t="str">
        <x:v>名称一致</x:v>
      </x:c>
    </x:row>
    <x:row r="398">
      <x:c r="A398" s="22" t="str">
        <x:v>锅底</x:v>
      </x:c>
      <x:c r="B398" s="22" t="str">
        <x:v>十界菌菇汤锅配跑山鸡</x:v>
      </x:c>
      <x:c r="C398" s="22" t="str">
        <x:v>香蕈</x:v>
      </x:c>
      <x:c r="D398" s="34" t="n">
        <x:v>50</x:v>
      </x:c>
      <x:c r="E398" s="34" t="n">
        <x:v>53.2</x:v>
      </x:c>
      <x:c r="F398" s="34" t="n">
        <x:v>93.98496240601503</x:v>
      </x:c>
      <x:c r="G398" s="34" t="n">
        <x:v>37.5</x:v>
      </x:c>
      <x:c r="H398" s="34" t="n">
        <x:v>4</x:v>
      </x:c>
      <x:c r="I398" s="34"/>
      <x:c r="J398" s="34"/>
      <x:c r="K398" s="36"/>
      <x:c r="L398" s="22" t="str">
        <x:v>香椰乳</x:v>
      </x:c>
      <x:c r="M398" s="36" t="n">
        <x:v>0.4</x:v>
      </x:c>
      <x:c r="N398" s="22" t="str">
        <x:v>未匹配</x:v>
      </x:c>
    </x:row>
    <x:row r="399">
      <x:c r="A399" s="22" t="str">
        <x:v>锅底</x:v>
      </x:c>
      <x:c r="B399" s="22" t="str">
        <x:v>十界菌菇汤锅配跑山鸡</x:v>
      </x:c>
      <x:c r="C399" s="22" t="str">
        <x:v>金耳</x:v>
      </x:c>
      <x:c r="D399" s="34" t="n">
        <x:v>50</x:v>
      </x:c>
      <x:c r="E399" s="34" t="n">
        <x:v>51</x:v>
      </x:c>
      <x:c r="F399" s="34" t="n">
        <x:v>98.0392156862745</x:v>
      </x:c>
      <x:c r="G399" s="34" t="n">
        <x:v>15</x:v>
      </x:c>
      <x:c r="H399" s="34" t="n">
        <x:v>1.5</x:v>
      </x:c>
      <x:c r="I399" s="34"/>
      <x:c r="J399" s="34"/>
      <x:c r="K399" s="36"/>
      <x:c r="L399" s="22" t="str">
        <x:v>金耳菌</x:v>
      </x:c>
      <x:c r="M399" s="36" t="n">
        <x:v>0.8733</x:v>
      </x:c>
      <x:c r="N399" s="22" t="str">
        <x:v>高相似待确认</x:v>
      </x:c>
    </x:row>
    <x:row r="400">
      <x:c r="A400" s="22" t="str">
        <x:v>锅底</x:v>
      </x:c>
      <x:c r="B400" s="22" t="str">
        <x:v>十界菌菇汤锅配跑山鸡</x:v>
      </x:c>
      <x:c r="C400" s="22" t="str">
        <x:v>鹿茸菇</x:v>
      </x:c>
      <x:c r="D400" s="34" t="n">
        <x:v>50</x:v>
      </x:c>
      <x:c r="E400" s="34" t="n">
        <x:v>50</x:v>
      </x:c>
      <x:c r="F400" s="34" t="n">
        <x:v>100</x:v>
      </x:c>
      <x:c r="G400" s="34" t="n">
        <x:v>7.4</x:v>
      </x:c>
      <x:c r="H400" s="34" t="n">
        <x:v>0.8</x:v>
      </x:c>
      <x:c r="I400" s="34"/>
      <x:c r="J400" s="34"/>
      <x:c r="K400" s="36"/>
      <x:c r="L400" s="22" t="str">
        <x:v>鹿茸菇</x:v>
      </x:c>
      <x:c r="M400" s="36" t="n">
        <x:v>1</x:v>
      </x:c>
      <x:c r="N400" s="22" t="str">
        <x:v>名称一致</x:v>
      </x:c>
    </x:row>
    <x:row r="401">
      <x:c r="A401" s="22" t="str">
        <x:v>锅底</x:v>
      </x:c>
      <x:c r="B401" s="22" t="str">
        <x:v>十界菌菇汤锅配跑山鸡</x:v>
      </x:c>
      <x:c r="C401" s="22" t="str">
        <x:v>赤松茸</x:v>
      </x:c>
      <x:c r="D401" s="34" t="n">
        <x:v>50</x:v>
      </x:c>
      <x:c r="E401" s="34" t="n">
        <x:v>54.9</x:v>
      </x:c>
      <x:c r="F401" s="34" t="n">
        <x:v>91.07468123861568</x:v>
      </x:c>
      <x:c r="G401" s="34" t="n">
        <x:v>24.45</x:v>
      </x:c>
      <x:c r="H401" s="34" t="n">
        <x:v>2.78</x:v>
      </x:c>
      <x:c r="I401" s="34"/>
      <x:c r="J401" s="34"/>
      <x:c r="K401" s="36"/>
      <x:c r="L401" s="22" t="str">
        <x:v>赤松茸</x:v>
      </x:c>
      <x:c r="M401" s="36" t="n">
        <x:v>1</x:v>
      </x:c>
      <x:c r="N401" s="22" t="str">
        <x:v>名称一致</x:v>
      </x:c>
    </x:row>
    <x:row r="402">
      <x:c r="A402" s="22" t="str">
        <x:v>锅底</x:v>
      </x:c>
      <x:c r="B402" s="22" t="str">
        <x:v>十界菌菇汤锅配跑山鸡</x:v>
      </x:c>
      <x:c r="C402" s="22" t="str">
        <x:v>榆黄蘑</x:v>
      </x:c>
      <x:c r="D402" s="34" t="n">
        <x:v>50</x:v>
      </x:c>
      <x:c r="E402" s="34" t="n">
        <x:v>55</x:v>
      </x:c>
      <x:c r="F402" s="34" t="n">
        <x:v>90.9090909090909</x:v>
      </x:c>
      <x:c r="G402" s="34" t="n">
        <x:v>19</x:v>
      </x:c>
      <x:c r="H402" s="34" t="n">
        <x:v>2.1</x:v>
      </x:c>
      <x:c r="I402" s="34"/>
      <x:c r="J402" s="34"/>
      <x:c r="K402" s="36"/>
      <x:c r="L402" s="22" t="str">
        <x:v>榆黄蘑</x:v>
      </x:c>
      <x:c r="M402" s="36" t="n">
        <x:v>1</x:v>
      </x:c>
      <x:c r="N402" s="22" t="str">
        <x:v>名称一致</x:v>
      </x:c>
    </x:row>
    <x:row r="403">
      <x:c r="A403" s="22" t="str">
        <x:v>锅底</x:v>
      </x:c>
      <x:c r="B403" s="22" t="str">
        <x:v>十界菌菇汤锅配跑山鸡</x:v>
      </x:c>
      <x:c r="C403" s="22" t="str">
        <x:v>黑牛肝菌</x:v>
      </x:c>
      <x:c r="D403" s="34" t="n">
        <x:v>30</x:v>
      </x:c>
      <x:c r="E403" s="34" t="n">
        <x:v>32</x:v>
      </x:c>
      <x:c r="F403" s="34" t="n">
        <x:v>93.75</x:v>
      </x:c>
      <x:c r="G403" s="34" t="n">
        <x:v>39.5</x:v>
      </x:c>
      <x:c r="H403" s="34" t="n">
        <x:v>2.7</x:v>
      </x:c>
      <x:c r="I403" s="34"/>
      <x:c r="J403" s="34"/>
      <x:c r="K403" s="36"/>
      <x:c r="L403" s="22" t="str">
        <x:v>黑牛肝菌</x:v>
      </x:c>
      <x:c r="M403" s="36" t="n">
        <x:v>1</x:v>
      </x:c>
      <x:c r="N403" s="22" t="str">
        <x:v>名称一致</x:v>
      </x:c>
    </x:row>
    <x:row r="404">
      <x:c r="A404" s="22" t="str">
        <x:v>锅底</x:v>
      </x:c>
      <x:c r="B404" s="22" t="str">
        <x:v>十界菌菇汤锅配跑山鸡</x:v>
      </x:c>
      <x:c r="C404" s="22" t="str">
        <x:v>红乳牛肝菌</x:v>
      </x:c>
      <x:c r="D404" s="34" t="n">
        <x:v>80</x:v>
      </x:c>
      <x:c r="E404" s="34" t="n">
        <x:v>100</x:v>
      </x:c>
      <x:c r="F404" s="34" t="n">
        <x:v>80</x:v>
      </x:c>
      <x:c r="G404" s="34" t="n">
        <x:v>20.83</x:v>
      </x:c>
      <x:c r="H404" s="34" t="n">
        <x:v>4.17</x:v>
      </x:c>
      <x:c r="I404" s="34"/>
      <x:c r="J404" s="34"/>
      <x:c r="K404" s="36"/>
      <x:c r="L404" s="22" t="str">
        <x:v>桶装盐渍红乳牛肝菌</x:v>
      </x:c>
      <x:c r="M404" s="36" t="n">
        <x:v>0.8511</x:v>
      </x:c>
      <x:c r="N404" s="22" t="str">
        <x:v>可能匹配待确认</x:v>
      </x:c>
    </x:row>
    <x:row r="405">
      <x:c r="A405" s="22" t="str">
        <x:v>锅底</x:v>
      </x:c>
      <x:c r="B405" s="22" t="str">
        <x:v>十界菌菇汤锅配跑山鸡</x:v>
      </x:c>
      <x:c r="C405" s="22" t="str">
        <x:v>红枣</x:v>
      </x:c>
      <x:c r="D405" s="34" t="n">
        <x:v>10</x:v>
      </x:c>
      <x:c r="E405" s="34" t="n">
        <x:v>10</x:v>
      </x:c>
      <x:c r="F405" s="34" t="n">
        <x:v>100</x:v>
      </x:c>
      <x:c r="G405" s="34" t="n">
        <x:v>7.25</x:v>
      </x:c>
      <x:c r="H405" s="34" t="n">
        <x:v>0.15</x:v>
      </x:c>
      <x:c r="I405" s="34"/>
      <x:c r="J405" s="34"/>
      <x:c r="K405" s="36"/>
      <x:c r="L405" s="22" t="str">
        <x:v>红枣</x:v>
      </x:c>
      <x:c r="M405" s="36" t="n">
        <x:v>1</x:v>
      </x:c>
      <x:c r="N405" s="22" t="str">
        <x:v>名称一致</x:v>
      </x:c>
    </x:row>
    <x:row r="406">
      <x:c r="A406" s="22" t="str">
        <x:v>锅底</x:v>
      </x:c>
      <x:c r="B406" s="22" t="str">
        <x:v>十界菌菇汤锅配跑山鸡</x:v>
      </x:c>
      <x:c r="C406" s="22" t="str">
        <x:v>虫草花</x:v>
      </x:c>
      <x:c r="D406" s="34" t="n">
        <x:v>10</x:v>
      </x:c>
      <x:c r="E406" s="34" t="n">
        <x:v>10</x:v>
      </x:c>
      <x:c r="F406" s="34" t="n">
        <x:v>100</x:v>
      </x:c>
      <x:c r="G406" s="34" t="n">
        <x:v>8.5</x:v>
      </x:c>
      <x:c r="H406" s="34" t="n">
        <x:v>0.17</x:v>
      </x:c>
      <x:c r="I406" s="34"/>
      <x:c r="J406" s="34"/>
      <x:c r="K406" s="36"/>
      <x:c r="L406" s="22" t="str">
        <x:v>虫草花</x:v>
      </x:c>
      <x:c r="M406" s="36" t="n">
        <x:v>1</x:v>
      </x:c>
      <x:c r="N406" s="22" t="str">
        <x:v>名称一致</x:v>
      </x:c>
    </x:row>
    <x:row r="407">
      <x:c r="A407" s="22" t="str">
        <x:v>锅底</x:v>
      </x:c>
      <x:c r="B407" s="22" t="str">
        <x:v>十界菌菇汤锅配跑山鸡</x:v>
      </x:c>
      <x:c r="C407" s="22" t="str">
        <x:v>枸杞</x:v>
      </x:c>
      <x:c r="D407" s="34" t="n">
        <x:v>5</x:v>
      </x:c>
      <x:c r="E407" s="34" t="n">
        <x:v>5</x:v>
      </x:c>
      <x:c r="F407" s="34" t="n">
        <x:v>100</x:v>
      </x:c>
      <x:c r="G407" s="34" t="n">
        <x:v>28.8</x:v>
      </x:c>
      <x:c r="H407" s="34" t="n">
        <x:v>0.3</x:v>
      </x:c>
      <x:c r="I407" s="34"/>
      <x:c r="J407" s="34"/>
      <x:c r="K407" s="36"/>
      <x:c r="L407" s="22" t="str">
        <x:v>枸杞</x:v>
      </x:c>
      <x:c r="M407" s="36" t="n">
        <x:v>1</x:v>
      </x:c>
      <x:c r="N407" s="22" t="str">
        <x:v>名称一致</x:v>
      </x:c>
    </x:row>
    <x:row r="408">
      <x:c r="A408" s="22" t="str">
        <x:v>锅底</x:v>
      </x:c>
      <x:c r="B408" s="22" t="str">
        <x:v>十界菌菇汤锅配跑山鸡</x:v>
      </x:c>
      <x:c r="C408" s="22" t="str">
        <x:v>味粉</x:v>
      </x:c>
      <x:c r="D408" s="34" t="n">
        <x:v>15</x:v>
      </x:c>
      <x:c r="E408" s="34" t="n">
        <x:v>15</x:v>
      </x:c>
      <x:c r="F408" s="34" t="n">
        <x:v>100</x:v>
      </x:c>
      <x:c r="G408" s="34" t="n">
        <x:v>14.3</x:v>
      </x:c>
      <x:c r="H408" s="34" t="n">
        <x:v>0.43</x:v>
      </x:c>
      <x:c r="I408" s="34"/>
      <x:c r="J408" s="34"/>
      <x:c r="K408" s="36"/>
      <x:c r="L408" s="22" t="str">
        <x:v>汤底调味粉·滇界定制</x:v>
      </x:c>
      <x:c r="M408" s="36" t="n">
        <x:v>0.7844</x:v>
      </x:c>
      <x:c r="N408" s="22" t="str">
        <x:v>可能匹配待确认</x:v>
      </x:c>
    </x:row>
    <x:row r="409">
      <x:c r="A409" s="22" t="str">
        <x:v>锅底</x:v>
      </x:c>
      <x:c r="B409" s="22" t="str">
        <x:v>十界菌菇汤锅配跑山鸡</x:v>
      </x:c>
      <x:c r="C409" s="22" t="str">
        <x:v>农夫山泉水</x:v>
      </x:c>
      <x:c r="D409" s="34" t="n">
        <x:v>1500</x:v>
      </x:c>
      <x:c r="E409" s="34" t="n">
        <x:v>1500</x:v>
      </x:c>
      <x:c r="F409" s="34" t="n">
        <x:v>100</x:v>
      </x:c>
      <x:c r="G409" s="34" t="n">
        <x:v>1.92</x:v>
      </x:c>
      <x:c r="H409" s="34" t="n">
        <x:v>1.92</x:v>
      </x:c>
      <x:c r="I409" s="34"/>
      <x:c r="J409" s="34"/>
      <x:c r="K409" s="36"/>
      <x:c r="L409" s="22" t="str">
        <x:v>农夫山泉1.5升</x:v>
      </x:c>
      <x:c r="M409" s="36" t="n">
        <x:v>0.6154</x:v>
      </x:c>
      <x:c r="N409" s="22" t="str">
        <x:v>未匹配</x:v>
      </x:c>
    </x:row>
    <x:row r="410">
      <x:c r="A410" s="22" t="str">
        <x:v>锅底</x:v>
      </x:c>
      <x:c r="B410" s="22" t="str">
        <x:v>十界菌菇汤锅配跑山鸡</x:v>
      </x:c>
      <x:c r="C410" s="22" t="str">
        <x:v>生姜</x:v>
      </x:c>
      <x:c r="D410" s="34" t="n">
        <x:v>10</x:v>
      </x:c>
      <x:c r="E410" s="34" t="n">
        <x:v>10.3</x:v>
      </x:c>
      <x:c r="F410" s="34" t="n">
        <x:v>97.08737864077669</x:v>
      </x:c>
      <x:c r="G410" s="34" t="n">
        <x:v>6</x:v>
      </x:c>
      <x:c r="H410" s="34" t="n">
        <x:v>0.13</x:v>
      </x:c>
      <x:c r="I410" s="34"/>
      <x:c r="J410" s="34"/>
      <x:c r="K410" s="36"/>
      <x:c r="L410" s="22" t="str">
        <x:v>生蚝</x:v>
      </x:c>
      <x:c r="M410" s="36" t="n">
        <x:v>0.5</x:v>
      </x:c>
      <x:c r="N410" s="22" t="str">
        <x:v>未匹配</x:v>
      </x:c>
    </x:row>
    <x:row r="411">
      <x:c r="A411" s="22" t="str">
        <x:v>锅底</x:v>
      </x:c>
      <x:c r="B411" s="22" t="str">
        <x:v>十界菌菇汤锅配跑山鸡</x:v>
      </x:c>
      <x:c r="C411" s="22" t="str">
        <x:v>菌菇鸡汤酱</x:v>
      </x:c>
      <x:c r="D411" s="34"/>
      <x:c r="E411" s="34"/>
      <x:c r="F411" s="34"/>
      <x:c r="G411" s="34"/>
      <x:c r="H411" s="34"/>
      <x:c r="I411" s="34"/>
      <x:c r="J411" s="34"/>
      <x:c r="K411" s="36"/>
      <x:c r="L411" s="22" t="str">
        <x:v>菌菇鸡汤酱</x:v>
      </x:c>
      <x:c r="M411" s="36" t="n">
        <x:v>1</x:v>
      </x:c>
      <x:c r="N411" s="22" t="str">
        <x:v>名称一致</x:v>
      </x:c>
    </x:row>
    <x:row r="412">
      <x:c r="A412" s="22" t="str">
        <x:v>锅底</x:v>
      </x:c>
      <x:c r="B412" s="22" t="str">
        <x:v>十界菌菇汤锅配跑山鸡</x:v>
      </x:c>
      <x:c r="C412" s="22" t="str">
        <x:v>龙爪</x:v>
      </x:c>
      <x:c r="D412" s="34" t="n">
        <x:v>50</x:v>
      </x:c>
      <x:c r="E412" s="34" t="n">
        <x:v>55.55</x:v>
      </x:c>
      <x:c r="F412" s="34" t="n">
        <x:v>90.00900090009002</x:v>
      </x:c>
      <x:c r="G412" s="34" t="n">
        <x:v>26.5</x:v>
      </x:c>
      <x:c r="H412" s="34" t="n">
        <x:v>3</x:v>
      </x:c>
      <x:c r="I412" s="34"/>
      <x:c r="J412" s="34"/>
      <x:c r="K412" s="36"/>
      <x:c r="L412" s="22" t="str">
        <x:v>龙爪菇</x:v>
      </x:c>
      <x:c r="M412" s="36" t="n">
        <x:v>0.8733</x:v>
      </x:c>
      <x:c r="N412" s="22" t="str">
        <x:v>高相似待确认</x:v>
      </x:c>
    </x:row>
    <x:row r="413">
      <x:c r="A413" s="22" t="str">
        <x:v>锅底</x:v>
      </x:c>
      <x:c r="B413" s="22" t="str">
        <x:v>十界菌菇汤锅配跑山鸡</x:v>
      </x:c>
      <x:c r="C413" s="22" t="str">
        <x:v>跑山鸡盒</x:v>
      </x:c>
      <x:c r="D413" s="34" t="n">
        <x:v>1</x:v>
      </x:c>
      <x:c r="E413" s="34" t="n">
        <x:v>1</x:v>
      </x:c>
      <x:c r="F413" s="34" t="n">
        <x:v>100</x:v>
      </x:c>
      <x:c r="G413" s="34" t="n">
        <x:v>13.5</x:v>
      </x:c>
      <x:c r="H413" s="34" t="n">
        <x:v>13.5</x:v>
      </x:c>
      <x:c r="I413" s="34" t="str">
        <x:v>十界纯锅底不加鸡，毛利润70.5%</x:v>
      </x:c>
      <x:c r="J413" s="34"/>
      <x:c r="K413" s="36"/>
      <x:c r="L413" s="22" t="str">
        <x:v>鸡架</x:v>
      </x:c>
      <x:c r="M413" s="36" t="n">
        <x:v>0.3333</x:v>
      </x:c>
      <x:c r="N413" s="22" t="str">
        <x:v>未匹配</x:v>
      </x:c>
    </x:row>
    <x:row r="414">
      <x:c r="A414" s="22" t="str">
        <x:v>锅底</x:v>
      </x:c>
      <x:c r="B414" s="22" t="str">
        <x:v>八鲜山菌·武定跑山鸡汤锅</x:v>
      </x:c>
      <x:c r="C414" s="22" t="str">
        <x:v>野生美味牛肝菌</x:v>
      </x:c>
      <x:c r="D414" s="34" t="str">
        <x:v>30</x:v>
      </x:c>
      <x:c r="E414" s="34"/>
      <x:c r="F414" s="34"/>
      <x:c r="G414" s="34"/>
      <x:c r="H414" s="34"/>
      <x:c r="I414" s="34"/>
      <x:c r="J414" s="34"/>
      <x:c r="K414" s="36"/>
      <x:c r="L414" s="22" t="str">
        <x:v>冻美味牛肝菌</x:v>
      </x:c>
      <x:c r="M414" s="36" t="n">
        <x:v>0.7692</x:v>
      </x:c>
      <x:c r="N414" s="22" t="str">
        <x:v>可能匹配待确认</x:v>
      </x:c>
    </x:row>
    <x:row r="415">
      <x:c r="A415" s="22" t="str">
        <x:v>锅底</x:v>
      </x:c>
      <x:c r="B415" s="22" t="str">
        <x:v>八鲜山菌·武定跑山鸡汤锅</x:v>
      </x:c>
      <x:c r="C415" s="22" t="str">
        <x:v>野生黄牛肝菌</x:v>
      </x:c>
      <x:c r="D415" s="34" t="str">
        <x:v>30</x:v>
      </x:c>
      <x:c r="E415" s="34"/>
      <x:c r="F415" s="34"/>
      <x:c r="G415" s="34"/>
      <x:c r="H415" s="34"/>
      <x:c r="I415" s="34"/>
      <x:c r="J415" s="34"/>
      <x:c r="K415" s="36"/>
      <x:c r="L415" s="22" t="str">
        <x:v>冻黄牛肝菌</x:v>
      </x:c>
      <x:c r="M415" s="36" t="n">
        <x:v>0.7273</x:v>
      </x:c>
      <x:c r="N415" s="22" t="str">
        <x:v>可能匹配待确认</x:v>
      </x:c>
    </x:row>
    <x:row r="416">
      <x:c r="A416" s="22" t="str">
        <x:v>锅底</x:v>
      </x:c>
      <x:c r="B416" s="22" t="str">
        <x:v>八鲜山菌·武定跑山鸡汤锅</x:v>
      </x:c>
      <x:c r="C416" s="22" t="str">
        <x:v>羊肚菌</x:v>
      </x:c>
      <x:c r="D416" s="34" t="n">
        <x:v>30</x:v>
      </x:c>
      <x:c r="E416" s="34"/>
      <x:c r="F416" s="34"/>
      <x:c r="G416" s="34"/>
      <x:c r="H416" s="34"/>
      <x:c r="I416" s="34"/>
      <x:c r="J416" s="34"/>
      <x:c r="K416" s="36"/>
      <x:c r="L416" s="22" t="str">
        <x:v>羊肚</x:v>
      </x:c>
      <x:c r="M416" s="36" t="n">
        <x:v>0.8733</x:v>
      </x:c>
      <x:c r="N416" s="22" t="str">
        <x:v>高相似待确认</x:v>
      </x:c>
    </x:row>
    <x:row r="417">
      <x:c r="A417" s="22" t="str">
        <x:v>锅底</x:v>
      </x:c>
      <x:c r="B417" s="22" t="str">
        <x:v>八鲜山菌·武定跑山鸡汤锅</x:v>
      </x:c>
      <x:c r="C417" s="22" t="str">
        <x:v>见手青</x:v>
      </x:c>
      <x:c r="D417" s="34" t="n">
        <x:v>40</x:v>
      </x:c>
      <x:c r="E417" s="34"/>
      <x:c r="F417" s="34"/>
      <x:c r="G417" s="34"/>
      <x:c r="H417" s="34"/>
      <x:c r="I417" s="34"/>
      <x:c r="J417" s="34"/>
      <x:c r="K417" s="36"/>
      <x:c r="L417" s="22" t="str">
        <x:v>见手青啤酒</x:v>
      </x:c>
      <x:c r="M417" s="36" t="n">
        <x:v>0.86</x:v>
      </x:c>
      <x:c r="N417" s="22" t="str">
        <x:v>高相似待确认</x:v>
      </x:c>
    </x:row>
    <x:row r="418">
      <x:c r="A418" s="22" t="str">
        <x:v>锅底</x:v>
      </x:c>
      <x:c r="B418" s="22" t="str">
        <x:v>八鲜山菌·武定跑山鸡汤锅</x:v>
      </x:c>
      <x:c r="C418" s="22" t="str">
        <x:v>野生老人头</x:v>
      </x:c>
      <x:c r="D418" s="34" t="str">
        <x:v>30</x:v>
      </x:c>
      <x:c r="E418" s="34"/>
      <x:c r="F418" s="34"/>
      <x:c r="G418" s="34"/>
      <x:c r="H418" s="34"/>
      <x:c r="I418" s="34"/>
      <x:c r="J418" s="34"/>
      <x:c r="K418" s="36"/>
      <x:c r="L418" s="22" t="str">
        <x:v>老人头（鲜菌）</x:v>
      </x:c>
      <x:c r="M418" s="36" t="n">
        <x:v>0.6</x:v>
      </x:c>
      <x:c r="N418" s="22" t="str">
        <x:v>未匹配</x:v>
      </x:c>
    </x:row>
    <x:row r="419">
      <x:c r="A419" s="22" t="str">
        <x:v>锅底</x:v>
      </x:c>
      <x:c r="B419" s="22" t="str">
        <x:v>八鲜山菌·武定跑山鸡汤锅</x:v>
      </x:c>
      <x:c r="C419" s="22" t="str">
        <x:v>野生奶浆菌</x:v>
      </x:c>
      <x:c r="D419" s="34" t="str">
        <x:v>30</x:v>
      </x:c>
      <x:c r="E419" s="34"/>
      <x:c r="F419" s="34"/>
      <x:c r="G419" s="34"/>
      <x:c r="H419" s="34"/>
      <x:c r="I419" s="34"/>
      <x:c r="J419" s="34"/>
      <x:c r="K419" s="36"/>
      <x:c r="L419" s="22" t="str">
        <x:v>冻奶浆菌</x:v>
      </x:c>
      <x:c r="M419" s="36" t="n">
        <x:v>0.6667</x:v>
      </x:c>
      <x:c r="N419" s="22" t="str">
        <x:v>未匹配</x:v>
      </x:c>
    </x:row>
    <x:row r="420">
      <x:c r="A420" s="22" t="str">
        <x:v>锅底</x:v>
      </x:c>
      <x:c r="B420" s="22" t="str">
        <x:v>八鲜山菌·武定跑山鸡汤锅</x:v>
      </x:c>
      <x:c r="C420" s="22" t="str">
        <x:v>野生青头菌</x:v>
      </x:c>
      <x:c r="D420" s="34" t="str">
        <x:v>30</x:v>
      </x:c>
      <x:c r="E420" s="34"/>
      <x:c r="F420" s="34"/>
      <x:c r="G420" s="34"/>
      <x:c r="H420" s="34"/>
      <x:c r="I420" s="34"/>
      <x:c r="J420" s="34"/>
      <x:c r="K420" s="36"/>
      <x:c r="L420" s="22" t="str">
        <x:v>冻青头菌</x:v>
      </x:c>
      <x:c r="M420" s="36" t="n">
        <x:v>0.6667</x:v>
      </x:c>
      <x:c r="N420" s="22" t="str">
        <x:v>未匹配</x:v>
      </x:c>
    </x:row>
    <x:row r="421">
      <x:c r="A421" s="22" t="str">
        <x:v>锅底</x:v>
      </x:c>
      <x:c r="B421" s="22" t="str">
        <x:v>八鲜山菌·武定跑山鸡汤锅</x:v>
      </x:c>
      <x:c r="C421" s="22" t="str">
        <x:v>红乳牛肝菌</x:v>
      </x:c>
      <x:c r="D421" s="34" t="n">
        <x:v>80</x:v>
      </x:c>
      <x:c r="E421" s="34"/>
      <x:c r="F421" s="34"/>
      <x:c r="G421" s="34"/>
      <x:c r="H421" s="34"/>
      <x:c r="I421" s="34"/>
      <x:c r="J421" s="34"/>
      <x:c r="K421" s="36"/>
      <x:c r="L421" s="22" t="str">
        <x:v>桶装盐渍红乳牛肝菌</x:v>
      </x:c>
      <x:c r="M421" s="36" t="n">
        <x:v>0.8511</x:v>
      </x:c>
      <x:c r="N421" s="22" t="str">
        <x:v>可能匹配待确认</x:v>
      </x:c>
    </x:row>
    <x:row r="422">
      <x:c r="A422" s="22" t="str">
        <x:v>锅底</x:v>
      </x:c>
      <x:c r="B422" s="22" t="str">
        <x:v>八鲜山菌·武定跑山鸡汤锅</x:v>
      </x:c>
      <x:c r="C422" s="22" t="str">
        <x:v>红枣</x:v>
      </x:c>
      <x:c r="D422" s="34" t="str">
        <x:v>3个</x:v>
      </x:c>
      <x:c r="E422" s="34"/>
      <x:c r="F422" s="34"/>
      <x:c r="G422" s="34"/>
      <x:c r="H422" s="34"/>
      <x:c r="I422" s="34"/>
      <x:c r="J422" s="34"/>
      <x:c r="K422" s="36"/>
      <x:c r="L422" s="22" t="str">
        <x:v>红枣</x:v>
      </x:c>
      <x:c r="M422" s="36" t="n">
        <x:v>1</x:v>
      </x:c>
      <x:c r="N422" s="22" t="str">
        <x:v>名称一致</x:v>
      </x:c>
    </x:row>
    <x:row r="423">
      <x:c r="A423" s="22" t="str">
        <x:v>锅底</x:v>
      </x:c>
      <x:c r="B423" s="22" t="str">
        <x:v>八鲜山菌·武定跑山鸡汤锅</x:v>
      </x:c>
      <x:c r="C423" s="22" t="str">
        <x:v>虫草花</x:v>
      </x:c>
      <x:c r="D423" s="34" t="str">
        <x:v>10克</x:v>
      </x:c>
      <x:c r="E423" s="34"/>
      <x:c r="F423" s="34"/>
      <x:c r="G423" s="34"/>
      <x:c r="H423" s="34"/>
      <x:c r="I423" s="34"/>
      <x:c r="J423" s="34"/>
      <x:c r="K423" s="36"/>
      <x:c r="L423" s="22" t="str">
        <x:v>虫草花</x:v>
      </x:c>
      <x:c r="M423" s="36" t="n">
        <x:v>1</x:v>
      </x:c>
      <x:c r="N423" s="22" t="str">
        <x:v>名称一致</x:v>
      </x:c>
    </x:row>
    <x:row r="424">
      <x:c r="A424" s="22" t="str">
        <x:v>锅底</x:v>
      </x:c>
      <x:c r="B424" s="22" t="str">
        <x:v>八鲜山菌·武定跑山鸡汤锅</x:v>
      </x:c>
      <x:c r="C424" s="22" t="str">
        <x:v>枸杞</x:v>
      </x:c>
      <x:c r="D424" s="34" t="str">
        <x:v>5克</x:v>
      </x:c>
      <x:c r="E424" s="34"/>
      <x:c r="F424" s="34"/>
      <x:c r="G424" s="34"/>
      <x:c r="H424" s="34"/>
      <x:c r="I424" s="34"/>
      <x:c r="J424" s="34"/>
      <x:c r="K424" s="36"/>
      <x:c r="L424" s="22" t="str">
        <x:v>枸杞</x:v>
      </x:c>
      <x:c r="M424" s="36" t="n">
        <x:v>1</x:v>
      </x:c>
      <x:c r="N424" s="22" t="str">
        <x:v>名称一致</x:v>
      </x:c>
    </x:row>
    <x:row r="425">
      <x:c r="A425" s="22" t="str">
        <x:v>锅底</x:v>
      </x:c>
      <x:c r="B425" s="22" t="str">
        <x:v>八鲜山菌·武定跑山鸡汤锅</x:v>
      </x:c>
      <x:c r="C425" s="22" t="str">
        <x:v>味粉</x:v>
      </x:c>
      <x:c r="D425" s="34" t="str">
        <x:v>20克</x:v>
      </x:c>
      <x:c r="E425" s="34"/>
      <x:c r="F425" s="34"/>
      <x:c r="G425" s="34"/>
      <x:c r="H425" s="34"/>
      <x:c r="I425" s="34"/>
      <x:c r="J425" s="34"/>
      <x:c r="K425" s="36"/>
      <x:c r="L425" s="22" t="str">
        <x:v>汤底调味粉·滇界定制</x:v>
      </x:c>
      <x:c r="M425" s="36" t="n">
        <x:v>0.7844</x:v>
      </x:c>
      <x:c r="N425" s="22" t="str">
        <x:v>可能匹配待确认</x:v>
      </x:c>
    </x:row>
    <x:row r="426">
      <x:c r="A426" s="22" t="str">
        <x:v>锅底</x:v>
      </x:c>
      <x:c r="B426" s="22" t="str">
        <x:v>八鲜山菌·武定跑山鸡汤锅</x:v>
      </x:c>
      <x:c r="C426" s="22" t="str">
        <x:v>农夫山泉水</x:v>
      </x:c>
      <x:c r="D426" s="34" t="str">
        <x:v>1500克</x:v>
      </x:c>
      <x:c r="E426" s="34"/>
      <x:c r="F426" s="34"/>
      <x:c r="G426" s="34"/>
      <x:c r="H426" s="34"/>
      <x:c r="I426" s="34"/>
      <x:c r="J426" s="34"/>
      <x:c r="K426" s="36"/>
      <x:c r="L426" s="22" t="str">
        <x:v>农夫山泉1.5升</x:v>
      </x:c>
      <x:c r="M426" s="36" t="n">
        <x:v>0.6154</x:v>
      </x:c>
      <x:c r="N426" s="22" t="str">
        <x:v>未匹配</x:v>
      </x:c>
    </x:row>
    <x:row r="427">
      <x:c r="A427" s="22" t="str">
        <x:v>锅底</x:v>
      </x:c>
      <x:c r="B427" s="22" t="str">
        <x:v>八鲜山菌·武定跑山鸡汤锅</x:v>
      </x:c>
      <x:c r="C427" s="22" t="str">
        <x:v>生姜</x:v>
      </x:c>
      <x:c r="D427" s="34" t="str">
        <x:v>若干</x:v>
      </x:c>
      <x:c r="E427" s="34"/>
      <x:c r="F427" s="34"/>
      <x:c r="G427" s="34"/>
      <x:c r="H427" s="34"/>
      <x:c r="I427" s="34"/>
      <x:c r="J427" s="34"/>
      <x:c r="K427" s="36"/>
      <x:c r="L427" s="22" t="str">
        <x:v>生蚝</x:v>
      </x:c>
      <x:c r="M427" s="36" t="n">
        <x:v>0.5</x:v>
      </x:c>
      <x:c r="N427" s="22" t="str">
        <x:v>未匹配</x:v>
      </x:c>
    </x:row>
    <x:row r="428">
      <x:c r="A428" s="22" t="str">
        <x:v>锅底</x:v>
      </x:c>
      <x:c r="B428" s="22" t="str">
        <x:v>八鲜山菌·武定跑山鸡汤锅</x:v>
      </x:c>
      <x:c r="C428" s="22" t="str">
        <x:v>火腿</x:v>
      </x:c>
      <x:c r="D428" s="34" t="str">
        <x:v>50克</x:v>
      </x:c>
      <x:c r="E428" s="34"/>
      <x:c r="F428" s="34"/>
      <x:c r="G428" s="34"/>
      <x:c r="H428" s="34"/>
      <x:c r="I428" s="34"/>
      <x:c r="J428" s="34"/>
      <x:c r="K428" s="36"/>
      <x:c r="L428" s="22" t="str">
        <x:v>云南腊火腿</x:v>
      </x:c>
      <x:c r="M428" s="36" t="n">
        <x:v>0.82</x:v>
      </x:c>
      <x:c r="N428" s="22" t="str">
        <x:v>可能匹配待确认</x:v>
      </x:c>
    </x:row>
    <x:row r="429">
      <x:c r="A429" s="22" t="str">
        <x:v>锅底</x:v>
      </x:c>
      <x:c r="B429" s="22" t="str">
        <x:v>八鲜山菌·武定跑山鸡汤锅</x:v>
      </x:c>
      <x:c r="C429" s="22" t="str">
        <x:v>龙爪</x:v>
      </x:c>
      <x:c r="D429" s="34" t="str">
        <x:v>50克</x:v>
      </x:c>
      <x:c r="E429" s="34"/>
      <x:c r="F429" s="34"/>
      <x:c r="G429" s="34"/>
      <x:c r="H429" s="34"/>
      <x:c r="I429" s="34"/>
      <x:c r="J429" s="34"/>
      <x:c r="K429" s="36"/>
      <x:c r="L429" s="22" t="str">
        <x:v>龙爪菇</x:v>
      </x:c>
      <x:c r="M429" s="36" t="n">
        <x:v>0.8733</x:v>
      </x:c>
      <x:c r="N429" s="22" t="str">
        <x:v>高相似待确认</x:v>
      </x:c>
    </x:row>
    <x:row r="430">
      <x:c r="A430" s="24" t="str">
        <x:v>锅底</x:v>
      </x:c>
      <x:c r="B430" s="24" t="str">
        <x:v>八鲜山菌·武定跑山鸡汤锅</x:v>
      </x:c>
      <x:c r="C430" s="24" t="str">
        <x:v>跑山鸡</x:v>
      </x:c>
      <x:c r="D430" s="35" t="n">
        <x:v>1</x:v>
      </x:c>
      <x:c r="E430" s="35"/>
      <x:c r="F430" s="35"/>
      <x:c r="G430" s="35"/>
      <x:c r="H430" s="35"/>
      <x:c r="I430" s="35"/>
      <x:c r="J430" s="35"/>
      <x:c r="K430" s="37"/>
      <x:c r="L430" s="24" t="str">
        <x:v>鸡架</x:v>
      </x:c>
      <x:c r="M430" s="37" t="n">
        <x:v>0.4</x:v>
      </x:c>
      <x:c r="N430" s="24" t="str">
        <x:v>未匹配</x:v>
      </x:c>
    </x:row>
  </x:sheetData>
  <x:pageMargins left="0.7" right="0.7" top="0.75" bottom="0.75" header="0.3" footer="0.3"/>
  <x:tableParts count="1">
    <x:tablePart xmlns:r="http://schemas.openxmlformats.org/officeDocument/2006/relationships" r:id="R50f9c3030af24f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4" hidden="0" customWidth="1"/>
    <x:col min="7" max="7" width="11" hidden="0" customWidth="1"/>
    <x:col min="8" max="8" width="18" hidden="0" customWidth="1"/>
    <x:col min="9" max="9" width="18" hidden="0" customWidth="1"/>
    <x:col min="10" max="10" width="24" hidden="0" customWidth="1"/>
  </x:cols>
  <x:sheetData>
    <x:row r="1">
      <x:c r="A1" s="13" t="str">
        <x:v>销售菜品</x:v>
      </x:c>
      <x:c r="B1" s="28" t="str">
        <x:v>销售数量</x:v>
      </x:c>
      <x:c r="C1" s="28" t="str">
        <x:v>营业额</x:v>
      </x:c>
      <x:c r="D1" s="28" t="str">
        <x:v>营业收入</x:v>
      </x:c>
      <x:c r="E1" s="28" t="str">
        <x:v>优惠金额</x:v>
      </x:c>
      <x:c r="F1" s="28" t="str">
        <x:v>BOM候选菜品</x:v>
      </x:c>
      <x:c r="G1" s="28" t="str">
        <x:v>相似度</x:v>
      </x:c>
      <x:c r="H1" s="28" t="str">
        <x:v>状态</x:v>
      </x:c>
      <x:c r="I1" s="28" t="str">
        <x:v>能否核算成本</x:v>
      </x:c>
      <x:c r="J1" s="14" t="str">
        <x:v>备注</x:v>
      </x:c>
    </x:row>
    <x:row r="2">
      <x:c r="A2" s="22" t="str">
        <x:v>百家蘸料</x:v>
      </x:c>
      <x:c r="B2" s="23" t="n">
        <x:v>5704</x:v>
      </x:c>
      <x:c r="C2" s="23" t="n">
        <x:v>30146.76</x:v>
      </x:c>
      <x:c r="D2" s="23" t="n">
        <x:v>24359.85</x:v>
      </x:c>
      <x:c r="E2" s="23" t="n">
        <x:v>5786.91</x:v>
      </x:c>
      <x:c r="F2" s="22" t="str">
        <x:v>云南百味鲜牛肉</x:v>
      </x:c>
      <x:c r="G2" s="36" t="n">
        <x:v>0.1818</x:v>
      </x:c>
      <x:c r="H2" s="22" t="str">
        <x:v>未匹配</x:v>
      </x:c>
      <x:c r="I2" s="22" t="str">
        <x:v>否</x:v>
      </x:c>
      <x:c r="J2" s="22" t="str"/>
    </x:row>
    <x:row r="3">
      <x:c r="A3" s="22" t="str">
        <x:v>十界菌菇汤锅</x:v>
      </x:c>
      <x:c r="B3" s="23" t="n">
        <x:v>1533</x:v>
      </x:c>
      <x:c r="C3" s="23" t="n">
        <x:v>208990.41</x:v>
      </x:c>
      <x:c r="D3" s="23" t="n">
        <x:v>165076.58</x:v>
      </x:c>
      <x:c r="E3" s="23" t="n">
        <x:v>43913.83</x:v>
      </x:c>
      <x:c r="F3" s="22" t="str">
        <x:v>十界菌菇汤锅配跑山鸡</x:v>
      </x:c>
      <x:c r="G3" s="36" t="n">
        <x:v>0.86</x:v>
      </x:c>
      <x:c r="H3" s="22" t="str">
        <x:v>高相似待确认</x:v>
      </x:c>
      <x:c r="I3" s="22" t="str">
        <x:v>否</x:v>
      </x:c>
      <x:c r="J3" s="22" t="str"/>
    </x:row>
    <x:row r="4">
      <x:c r="A4" s="22" t="str">
        <x:v>元阳哈尼米线</x:v>
      </x:c>
      <x:c r="B4" s="23" t="n">
        <x:v>1274</x:v>
      </x:c>
      <x:c r="C4" s="23" t="n">
        <x:v>8785.53</x:v>
      </x:c>
      <x:c r="D4" s="23" t="n">
        <x:v>7211.95</x:v>
      </x:c>
      <x:c r="E4" s="23" t="n">
        <x:v>1573.58</x:v>
      </x:c>
      <x:c r="F4" s="22" t="str">
        <x:v>元阳哈尼米线</x:v>
      </x:c>
      <x:c r="G4" s="36" t="n">
        <x:v>1</x:v>
      </x:c>
      <x:c r="H4" s="22" t="str">
        <x:v>名称一致</x:v>
      </x:c>
      <x:c r="I4" s="22" t="str">
        <x:v>待原料映射完成</x:v>
      </x:c>
      <x:c r="J4" s="22" t="str"/>
    </x:row>
    <x:row r="5">
      <x:c r="A5" s="22" t="str">
        <x:v>武定跑山鸡</x:v>
      </x:c>
      <x:c r="B5" s="23" t="n">
        <x:v>955</x:v>
      </x:c>
      <x:c r="C5" s="23" t="n">
        <x:v>43825.43</x:v>
      </x:c>
      <x:c r="D5" s="23" t="n">
        <x:v>39279.98</x:v>
      </x:c>
      <x:c r="E5" s="23" t="n">
        <x:v>4545.45</x:v>
      </x:c>
      <x:c r="F5" s="22" t="str">
        <x:v>八鲜山菌·武定跑山鸡汤锅</x:v>
      </x:c>
      <x:c r="G5" s="36" t="n">
        <x:v>0.8309</x:v>
      </x:c>
      <x:c r="H5" s="22" t="str">
        <x:v>可能匹配待确认</x:v>
      </x:c>
      <x:c r="I5" s="22" t="str">
        <x:v>否</x:v>
      </x:c>
      <x:c r="J5" s="22" t="str"/>
    </x:row>
    <x:row r="6">
      <x:c r="A6" s="22" t="str">
        <x:v>山野炸蘑菇</x:v>
      </x:c>
      <x:c r="B6" s="23" t="n">
        <x:v>891</x:v>
      </x:c>
      <x:c r="C6" s="23" t="n">
        <x:v>13089.28</x:v>
      </x:c>
      <x:c r="D6" s="23" t="n">
        <x:v>11074.11</x:v>
      </x:c>
      <x:c r="E6" s="23" t="n">
        <x:v>2015.17</x:v>
      </x:c>
      <x:c r="F6" s="22" t="str">
        <x:v>香炸蘑菇</x:v>
      </x:c>
      <x:c r="G6" s="36" t="n">
        <x:v>0.6667</x:v>
      </x:c>
      <x:c r="H6" s="22" t="str">
        <x:v>未匹配</x:v>
      </x:c>
      <x:c r="I6" s="22" t="str">
        <x:v>否</x:v>
      </x:c>
      <x:c r="J6" s="22" t="str"/>
    </x:row>
    <x:row r="7">
      <x:c r="A7" s="22" t="str">
        <x:v>鲜切牛吊龙</x:v>
      </x:c>
      <x:c r="B7" s="23" t="n">
        <x:v>833</x:v>
      </x:c>
      <x:c r="C7" s="23" t="n">
        <x:v>35034.47</x:v>
      </x:c>
      <x:c r="D7" s="23" t="n">
        <x:v>27377.86</x:v>
      </x:c>
      <x:c r="E7" s="23" t="n">
        <x:v>7656.61</x:v>
      </x:c>
      <x:c r="F7" s="22" t="str">
        <x:v>鲜切牛吊龙</x:v>
      </x:c>
      <x:c r="G7" s="36" t="n">
        <x:v>1</x:v>
      </x:c>
      <x:c r="H7" s="22" t="str">
        <x:v>名称一致</x:v>
      </x:c>
      <x:c r="I7" s="22" t="str">
        <x:v>待原料映射完成</x:v>
      </x:c>
      <x:c r="J7" s="22" t="str"/>
    </x:row>
    <x:row r="8">
      <x:c r="A8" s="22" t="str">
        <x:v>赠（炸黄粉皮）</x:v>
      </x:c>
      <x:c r="B8" s="23" t="n">
        <x:v>522</x:v>
      </x:c>
      <x:c r="C8" s="23" t="n">
        <x:v>4</x:v>
      </x:c>
      <x:c r="D8" s="23" t="n">
        <x:v>0.04</x:v>
      </x:c>
      <x:c r="E8" s="23" t="n">
        <x:v>3.96</x:v>
      </x:c>
      <x:c r="F8" s="22" t="str">
        <x:v>香酥黄粉皮</x:v>
      </x:c>
      <x:c r="G8" s="36" t="n">
        <x:v>0.6</x:v>
      </x:c>
      <x:c r="H8" s="22" t="str">
        <x:v>未匹配</x:v>
      </x:c>
      <x:c r="I8" s="22" t="str">
        <x:v>否</x:v>
      </x:c>
      <x:c r="J8" s="22" t="str"/>
    </x:row>
    <x:row r="9">
      <x:c r="A9" s="22" t="str">
        <x:v>赠（鲜花饼/个）</x:v>
      </x:c>
      <x:c r="B9" s="23" t="n">
        <x:v>498</x:v>
      </x:c>
      <x:c r="C9" s="23" t="n">
        <x:v>5</x:v>
      </x:c>
      <x:c r="D9" s="23" t="n">
        <x:v>0.05</x:v>
      </x:c>
      <x:c r="E9" s="23" t="n">
        <x:v>4.95</x:v>
      </x:c>
      <x:c r="F9" s="22" t="str">
        <x:v>鲜花米奶酒</x:v>
      </x:c>
      <x:c r="G9" s="36" t="n">
        <x:v>0.4</x:v>
      </x:c>
      <x:c r="H9" s="22" t="str">
        <x:v>未匹配</x:v>
      </x:c>
      <x:c r="I9" s="22" t="str">
        <x:v>否</x:v>
      </x:c>
      <x:c r="J9" s="22" t="str"/>
    </x:row>
    <x:row r="10">
      <x:c r="A10" s="22" t="str">
        <x:v>云滇豆三拼</x:v>
      </x:c>
      <x:c r="B10" s="23" t="n">
        <x:v>449</x:v>
      </x:c>
      <x:c r="C10" s="23" t="n">
        <x:v>8515.13</x:v>
      </x:c>
      <x:c r="D10" s="23" t="n">
        <x:v>7192.67</x:v>
      </x:c>
      <x:c r="E10" s="23" t="n">
        <x:v>1322.46</x:v>
      </x:c>
      <x:c r="F10" s="22" t="str">
        <x:v>云滇豆三拼</x:v>
      </x:c>
      <x:c r="G10" s="36" t="n">
        <x:v>1</x:v>
      </x:c>
      <x:c r="H10" s="22" t="str">
        <x:v>名称一致</x:v>
      </x:c>
      <x:c r="I10" s="22" t="str">
        <x:v>待原料映射完成</x:v>
      </x:c>
      <x:c r="J10" s="22" t="str"/>
    </x:row>
    <x:row r="11">
      <x:c r="A11" s="22" t="str">
        <x:v>野鲜菌火腿焖饭</x:v>
      </x:c>
      <x:c r="B11" s="23" t="n">
        <x:v>448</x:v>
      </x:c>
      <x:c r="C11" s="23" t="n">
        <x:v>16775.06</x:v>
      </x:c>
      <x:c r="D11" s="23" t="n">
        <x:v>13213.34</x:v>
      </x:c>
      <x:c r="E11" s="23" t="n">
        <x:v>3561.72</x:v>
      </x:c>
      <x:c r="F11" s="22" t="str">
        <x:v>野鲜菌火腿焖饭</x:v>
      </x:c>
      <x:c r="G11" s="36" t="n">
        <x:v>1</x:v>
      </x:c>
      <x:c r="H11" s="22" t="str">
        <x:v>名称一致</x:v>
      </x:c>
      <x:c r="I11" s="22" t="str">
        <x:v>待原料映射完成</x:v>
      </x:c>
      <x:c r="J11" s="22" t="str"/>
    </x:row>
    <x:row r="12">
      <x:c r="A12" s="22" t="str">
        <x:v>东川三色面</x:v>
      </x:c>
      <x:c r="B12" s="23" t="n">
        <x:v>439</x:v>
      </x:c>
      <x:c r="C12" s="23" t="n">
        <x:v>6207.41</x:v>
      </x:c>
      <x:c r="D12" s="23" t="n">
        <x:v>5152.97</x:v>
      </x:c>
      <x:c r="E12" s="23" t="n">
        <x:v>1054.44</x:v>
      </x:c>
      <x:c r="F12" s="22" t="str">
        <x:v>云滇三脆</x:v>
      </x:c>
      <x:c r="G12" s="36" t="n">
        <x:v>0.2222</x:v>
      </x:c>
      <x:c r="H12" s="22" t="str">
        <x:v>未匹配</x:v>
      </x:c>
      <x:c r="I12" s="22" t="str">
        <x:v>否</x:v>
      </x:c>
      <x:c r="J12" s="22" t="str"/>
    </x:row>
    <x:row r="13">
      <x:c r="A13" s="22" t="str">
        <x:v>大地飞雪</x:v>
      </x:c>
      <x:c r="B13" s="23" t="n">
        <x:v>425</x:v>
      </x:c>
      <x:c r="C13" s="23" t="n">
        <x:v>18242.43</x:v>
      </x:c>
      <x:c r="D13" s="23" t="n">
        <x:v>15898.43</x:v>
      </x:c>
      <x:c r="E13" s="23" t="n">
        <x:v>2344</x:v>
      </x:c>
      <x:c r="F13" s="22" t="str">
        <x:v>和牛M5·大地飞雪</x:v>
      </x:c>
      <x:c r="G13" s="36" t="n">
        <x:v>0.84</x:v>
      </x:c>
      <x:c r="H13" s="22" t="str">
        <x:v>可能匹配待确认</x:v>
      </x:c>
      <x:c r="I13" s="22" t="str">
        <x:v>否</x:v>
      </x:c>
      <x:c r="J13" s="22" t="str"/>
    </x:row>
    <x:row r="14">
      <x:c r="A14" s="22" t="str">
        <x:v>宣威火腿</x:v>
      </x:c>
      <x:c r="B14" s="23" t="n">
        <x:v>395</x:v>
      </x:c>
      <x:c r="C14" s="23" t="n">
        <x:v>11427.91</x:v>
      </x:c>
      <x:c r="D14" s="23" t="n">
        <x:v>9895.15</x:v>
      </x:c>
      <x:c r="E14" s="23" t="n">
        <x:v>1532.76</x:v>
      </x:c>
      <x:c r="F14" s="22" t="str">
        <x:v>宣威腊火腿</x:v>
      </x:c>
      <x:c r="G14" s="36" t="n">
        <x:v>0.8889</x:v>
      </x:c>
      <x:c r="H14" s="22" t="str">
        <x:v>高相似待确认</x:v>
      </x:c>
      <x:c r="I14" s="22" t="str">
        <x:v>否</x:v>
      </x:c>
      <x:c r="J14" s="22" t="str"/>
    </x:row>
    <x:row r="15">
      <x:c r="A15" s="22" t="str">
        <x:v>八鲜山菌汤锅·武定跑山鸡</x:v>
      </x:c>
      <x:c r="B15" s="23" t="n">
        <x:v>347</x:v>
      </x:c>
      <x:c r="C15" s="23" t="n">
        <x:v>70221.44</x:v>
      </x:c>
      <x:c r="D15" s="23" t="n">
        <x:v>60074.15</x:v>
      </x:c>
      <x:c r="E15" s="23" t="n">
        <x:v>10147.29</x:v>
      </x:c>
      <x:c r="F15" s="22" t="str">
        <x:v>八鲜山菌·武定跑山鸡汤锅</x:v>
      </x:c>
      <x:c r="G15" s="36" t="n">
        <x:v>0.8182</x:v>
      </x:c>
      <x:c r="H15" s="22" t="str">
        <x:v>可能匹配待确认</x:v>
      </x:c>
      <x:c r="I15" s="22" t="str">
        <x:v>否</x:v>
      </x:c>
      <x:c r="J15" s="22" t="str"/>
    </x:row>
    <x:row r="16">
      <x:c r="A16" s="22" t="str">
        <x:v>牛干巴炒饭</x:v>
      </x:c>
      <x:c r="B16" s="23" t="n">
        <x:v>295</x:v>
      </x:c>
      <x:c r="C16" s="23" t="n">
        <x:v>8260</x:v>
      </x:c>
      <x:c r="D16" s="23" t="n">
        <x:v>6666.41</x:v>
      </x:c>
      <x:c r="E16" s="23" t="n">
        <x:v>1593.59</x:v>
      </x:c>
      <x:c r="F16" s="22" t="str">
        <x:v>牛干巴炒饭</x:v>
      </x:c>
      <x:c r="G16" s="36" t="n">
        <x:v>1</x:v>
      </x:c>
      <x:c r="H16" s="22" t="str">
        <x:v>名称一致</x:v>
      </x:c>
      <x:c r="I16" s="22" t="str">
        <x:v>待原料映射完成</x:v>
      </x:c>
      <x:c r="J16" s="22" t="str"/>
    </x:row>
    <x:row r="17">
      <x:c r="A17" s="22" t="str">
        <x:v>赠【冰淇淋】</x:v>
      </x:c>
      <x:c r="B17" s="23" t="n">
        <x:v>294</x:v>
      </x:c>
      <x:c r="C17" s="23" t="n">
        <x:v>2</x:v>
      </x:c>
      <x:c r="D17" s="23" t="n">
        <x:v>0.02</x:v>
      </x:c>
      <x:c r="E17" s="23" t="n">
        <x:v>1.98</x:v>
      </x:c>
      <x:c r="F17" s="22" t="str">
        <x:v>黑皮鸡纵</x:v>
      </x:c>
      <x:c r="G17" s="36" t="n">
        <x:v>0</x:v>
      </x:c>
      <x:c r="H17" s="22" t="str">
        <x:v>未匹配</x:v>
      </x:c>
      <x:c r="I17" s="22" t="str">
        <x:v>否</x:v>
      </x:c>
      <x:c r="J17" s="22" t="str"/>
    </x:row>
    <x:row r="18">
      <x:c r="A18" s="22" t="str">
        <x:v>野菜粑粑</x:v>
      </x:c>
      <x:c r="B18" s="23" t="n">
        <x:v>280</x:v>
      </x:c>
      <x:c r="C18" s="23" t="n">
        <x:v>4955.74</x:v>
      </x:c>
      <x:c r="D18" s="23" t="n">
        <x:v>3880.27</x:v>
      </x:c>
      <x:c r="E18" s="23" t="n">
        <x:v>1075.47</x:v>
      </x:c>
      <x:c r="F18" s="22" t="str">
        <x:v>野菜粑粑</x:v>
      </x:c>
      <x:c r="G18" s="36" t="n">
        <x:v>1</x:v>
      </x:c>
      <x:c r="H18" s="22" t="str">
        <x:v>名称一致</x:v>
      </x:c>
      <x:c r="I18" s="22" t="str">
        <x:v>待原料映射完成</x:v>
      </x:c>
      <x:c r="J18" s="22" t="str"/>
    </x:row>
    <x:row r="19">
      <x:c r="A19" s="22" t="str">
        <x:v>10 秒脆毛肚</x:v>
      </x:c>
      <x:c r="B19" s="23" t="n">
        <x:v>255</x:v>
      </x:c>
      <x:c r="C19" s="23" t="n">
        <x:v>9690</x:v>
      </x:c>
      <x:c r="D19" s="23" t="n">
        <x:v>7651.94</x:v>
      </x:c>
      <x:c r="E19" s="23" t="n">
        <x:v>2038.06</x:v>
      </x:c>
      <x:c r="F19" s="22" t="str">
        <x:v>黄牛脆毛肚</x:v>
      </x:c>
      <x:c r="G19" s="36" t="n">
        <x:v>0.5455</x:v>
      </x:c>
      <x:c r="H19" s="22" t="str">
        <x:v>未匹配</x:v>
      </x:c>
      <x:c r="I19" s="22" t="str">
        <x:v>否</x:v>
      </x:c>
      <x:c r="J19" s="22" t="str"/>
    </x:row>
    <x:row r="20">
      <x:c r="A20" s="22" t="str">
        <x:v>洱海虎虾滑</x:v>
      </x:c>
      <x:c r="B20" s="23" t="n">
        <x:v>237</x:v>
      </x:c>
      <x:c r="C20" s="23" t="n">
        <x:v>8883.09</x:v>
      </x:c>
      <x:c r="D20" s="23" t="n">
        <x:v>6708.26</x:v>
      </x:c>
      <x:c r="E20" s="23" t="n">
        <x:v>2174.83</x:v>
      </x:c>
      <x:c r="F20" s="22" t="str">
        <x:v>洱海虎虾滑</x:v>
      </x:c>
      <x:c r="G20" s="36" t="n">
        <x:v>1</x:v>
      </x:c>
      <x:c r="H20" s="22" t="str">
        <x:v>名称一致</x:v>
      </x:c>
      <x:c r="I20" s="22" t="str">
        <x:v>待原料映射完成</x:v>
      </x:c>
      <x:c r="J20" s="22" t="str"/>
    </x:row>
    <x:row r="21">
      <x:c r="A21" s="22" t="str">
        <x:v>罐罐鲜花奶茶</x:v>
      </x:c>
      <x:c r="B21" s="23" t="n">
        <x:v>233</x:v>
      </x:c>
      <x:c r="C21" s="23" t="n">
        <x:v>5043.33</x:v>
      </x:c>
      <x:c r="D21" s="23" t="n">
        <x:v>3028.91</x:v>
      </x:c>
      <x:c r="E21" s="23" t="n">
        <x:v>2014.42</x:v>
      </x:c>
      <x:c r="F21" s="22" t="str">
        <x:v>罐罐鲜花奶茶</x:v>
      </x:c>
      <x:c r="G21" s="36" t="n">
        <x:v>1</x:v>
      </x:c>
      <x:c r="H21" s="22" t="str">
        <x:v>名称一致</x:v>
      </x:c>
      <x:c r="I21" s="22" t="str">
        <x:v>待原料映射完成</x:v>
      </x:c>
      <x:c r="J21" s="22" t="str"/>
    </x:row>
    <x:row r="22">
      <x:c r="A22" s="22" t="str">
        <x:v>云南特色酸汤锅底</x:v>
      </x:c>
      <x:c r="B22" s="23" t="n">
        <x:v>208</x:v>
      </x:c>
      <x:c r="C22" s="23" t="n">
        <x:v>9612.45</x:v>
      </x:c>
      <x:c r="D22" s="23" t="n">
        <x:v>6571.77</x:v>
      </x:c>
      <x:c r="E22" s="23" t="n">
        <x:v>3040.68</x:v>
      </x:c>
      <x:c r="F22" s="22" t="str">
        <x:v>云滇特色酸辣锅底微辣</x:v>
      </x:c>
      <x:c r="G22" s="36" t="n">
        <x:v>0.6667</x:v>
      </x:c>
      <x:c r="H22" s="22" t="str">
        <x:v>未匹配</x:v>
      </x:c>
      <x:c r="I22" s="22" t="str">
        <x:v>否</x:v>
      </x:c>
      <x:c r="J22" s="22" t="str"/>
    </x:row>
    <x:row r="23">
      <x:c r="A23" s="22" t="str">
        <x:v>云滇三脆</x:v>
      </x:c>
      <x:c r="B23" s="23" t="n">
        <x:v>185</x:v>
      </x:c>
      <x:c r="C23" s="23" t="n">
        <x:v>10175</x:v>
      </x:c>
      <x:c r="D23" s="23" t="n">
        <x:v>7829.02</x:v>
      </x:c>
      <x:c r="E23" s="23" t="n">
        <x:v>2345.98</x:v>
      </x:c>
      <x:c r="F23" s="22" t="str">
        <x:v>云滇三脆</x:v>
      </x:c>
      <x:c r="G23" s="36" t="n">
        <x:v>1</x:v>
      </x:c>
      <x:c r="H23" s="22" t="str">
        <x:v>名称一致</x:v>
      </x:c>
      <x:c r="I23" s="22" t="str">
        <x:v>待原料映射完成</x:v>
      </x:c>
      <x:c r="J23" s="22" t="str"/>
    </x:row>
    <x:row r="24">
      <x:c r="A24" s="22" t="str">
        <x:v>云南百味鲜牛肉</x:v>
      </x:c>
      <x:c r="B24" s="23" t="n">
        <x:v>183</x:v>
      </x:c>
      <x:c r="C24" s="23" t="n">
        <x:v>15940.29</x:v>
      </x:c>
      <x:c r="D24" s="23" t="n">
        <x:v>11760.46</x:v>
      </x:c>
      <x:c r="E24" s="23" t="n">
        <x:v>4179.83</x:v>
      </x:c>
      <x:c r="F24" s="22" t="str">
        <x:v>云南百味鲜牛肉</x:v>
      </x:c>
      <x:c r="G24" s="36" t="n">
        <x:v>1</x:v>
      </x:c>
      <x:c r="H24" s="22" t="str">
        <x:v>名称一致</x:v>
      </x:c>
      <x:c r="I24" s="22" t="str">
        <x:v>待原料映射完成</x:v>
      </x:c>
      <x:c r="J24" s="22" t="str"/>
    </x:row>
    <x:row r="25">
      <x:c r="A25" s="22" t="str">
        <x:v>娃娃菜</x:v>
      </x:c>
      <x:c r="B25" s="23" t="n">
        <x:v>181</x:v>
      </x:c>
      <x:c r="C25" s="23" t="n">
        <x:v>1641.78</x:v>
      </x:c>
      <x:c r="D25" s="23" t="n">
        <x:v>1341.23</x:v>
      </x:c>
      <x:c r="E25" s="23" t="n">
        <x:v>300.55</x:v>
      </x:c>
      <x:c r="F25" s="22" t="str">
        <x:v>娃娃菜</x:v>
      </x:c>
      <x:c r="G25" s="36" t="n">
        <x:v>1</x:v>
      </x:c>
      <x:c r="H25" s="22" t="str">
        <x:v>名称一致</x:v>
      </x:c>
      <x:c r="I25" s="22" t="str">
        <x:v>待原料映射完成</x:v>
      </x:c>
      <x:c r="J25" s="22" t="str"/>
    </x:row>
    <x:row r="26">
      <x:c r="A26" s="22" t="str">
        <x:v>香炸小酥肉</x:v>
      </x:c>
      <x:c r="B26" s="23" t="n">
        <x:v>179</x:v>
      </x:c>
      <x:c r="C26" s="23" t="n">
        <x:v>3938</x:v>
      </x:c>
      <x:c r="D26" s="23" t="n">
        <x:v>3042.09</x:v>
      </x:c>
      <x:c r="E26" s="23" t="n">
        <x:v>895.91</x:v>
      </x:c>
      <x:c r="F26" s="22" t="str">
        <x:v>香炸小酥肉</x:v>
      </x:c>
      <x:c r="G26" s="36" t="n">
        <x:v>1</x:v>
      </x:c>
      <x:c r="H26" s="22" t="str">
        <x:v>名称一致</x:v>
      </x:c>
      <x:c r="I26" s="22" t="str">
        <x:v>待原料映射完成</x:v>
      </x:c>
      <x:c r="J26" s="22" t="str"/>
    </x:row>
    <x:row r="27">
      <x:c r="A27" s="22" t="str">
        <x:v>云南秘制黄牛肉（微微辣）</x:v>
      </x:c>
      <x:c r="B27" s="23" t="n">
        <x:v>177</x:v>
      </x:c>
      <x:c r="C27" s="23" t="n">
        <x:v>8772</x:v>
      </x:c>
      <x:c r="D27" s="23" t="n">
        <x:v>6657.12</x:v>
      </x:c>
      <x:c r="E27" s="23" t="n">
        <x:v>2114.88</x:v>
      </x:c>
      <x:c r="F27" s="22" t="str">
        <x:v>秘制黄牛肉小份</x:v>
      </x:c>
      <x:c r="G27" s="36" t="n">
        <x:v>0.5882</x:v>
      </x:c>
      <x:c r="H27" s="22" t="str">
        <x:v>未匹配</x:v>
      </x:c>
      <x:c r="I27" s="22" t="str">
        <x:v>否</x:v>
      </x:c>
      <x:c r="J27" s="22" t="str"/>
    </x:row>
    <x:row r="28">
      <x:c r="A28" s="22" t="str">
        <x:v>石屏豆腐皮</x:v>
      </x:c>
      <x:c r="B28" s="23" t="n">
        <x:v>162</x:v>
      </x:c>
      <x:c r="C28" s="23" t="n">
        <x:v>1620</x:v>
      </x:c>
      <x:c r="D28" s="23" t="n">
        <x:v>1208.57</x:v>
      </x:c>
      <x:c r="E28" s="23" t="n">
        <x:v>411.43</x:v>
      </x:c>
      <x:c r="F28" s="22" t="str">
        <x:v>石屏豆腐皮</x:v>
      </x:c>
      <x:c r="G28" s="36" t="n">
        <x:v>1</x:v>
      </x:c>
      <x:c r="H28" s="22" t="str">
        <x:v>名称一致</x:v>
      </x:c>
      <x:c r="I28" s="22" t="str">
        <x:v>待原料映射完成</x:v>
      </x:c>
      <x:c r="J28" s="22" t="str"/>
    </x:row>
    <x:row r="29">
      <x:c r="A29" s="22" t="str">
        <x:v>石屏黑豆花</x:v>
      </x:c>
      <x:c r="B29" s="23" t="n">
        <x:v>155</x:v>
      </x:c>
      <x:c r="C29" s="23" t="n">
        <x:v>1860</x:v>
      </x:c>
      <x:c r="D29" s="23" t="n">
        <x:v>1428.21</x:v>
      </x:c>
      <x:c r="E29" s="23" t="n">
        <x:v>431.79</x:v>
      </x:c>
      <x:c r="F29" s="22" t="str">
        <x:v>石屏黑豆花</x:v>
      </x:c>
      <x:c r="G29" s="36" t="n">
        <x:v>1</x:v>
      </x:c>
      <x:c r="H29" s="22" t="str">
        <x:v>名称一致</x:v>
      </x:c>
      <x:c r="I29" s="22" t="str">
        <x:v>待原料映射完成</x:v>
      </x:c>
      <x:c r="J29" s="22" t="str"/>
    </x:row>
    <x:row r="30">
      <x:c r="A30" s="22" t="str">
        <x:v>魔幻见手青</x:v>
      </x:c>
      <x:c r="B30" s="23" t="n">
        <x:v>153</x:v>
      </x:c>
      <x:c r="C30" s="23" t="n">
        <x:v>10404</x:v>
      </x:c>
      <x:c r="D30" s="23" t="n">
        <x:v>7844.11</x:v>
      </x:c>
      <x:c r="E30" s="23" t="n">
        <x:v>2559.89</x:v>
      </x:c>
      <x:c r="F30" s="22" t="str">
        <x:v>魔幻见手青</x:v>
      </x:c>
      <x:c r="G30" s="36" t="n">
        <x:v>1</x:v>
      </x:c>
      <x:c r="H30" s="22" t="str">
        <x:v>名称一致</x:v>
      </x:c>
      <x:c r="I30" s="22" t="str">
        <x:v>待原料映射完成</x:v>
      </x:c>
      <x:c r="J30" s="22" t="str"/>
    </x:row>
    <x:row r="31">
      <x:c r="A31" s="22" t="str">
        <x:v>六味珍菌拼盘</x:v>
      </x:c>
      <x:c r="B31" s="23" t="n">
        <x:v>149</x:v>
      </x:c>
      <x:c r="C31" s="23" t="n">
        <x:v>6561.09</x:v>
      </x:c>
      <x:c r="D31" s="23" t="n">
        <x:v>4856.61</x:v>
      </x:c>
      <x:c r="E31" s="23" t="n">
        <x:v>1704.48</x:v>
      </x:c>
      <x:c r="F31" s="22" t="str">
        <x:v>六味珍菌拼盘</x:v>
      </x:c>
      <x:c r="G31" s="36" t="n">
        <x:v>1</x:v>
      </x:c>
      <x:c r="H31" s="22" t="str">
        <x:v>名称一致</x:v>
      </x:c>
      <x:c r="I31" s="22" t="str">
        <x:v>待原料映射完成</x:v>
      </x:c>
      <x:c r="J31" s="22" t="str"/>
    </x:row>
    <x:row r="32">
      <x:c r="A32" s="22" t="str">
        <x:v>七彩云南蔬菜拼盘</x:v>
      </x:c>
      <x:c r="B32" s="23" t="n">
        <x:v>144</x:v>
      </x:c>
      <x:c r="C32" s="23" t="n">
        <x:v>4564.05</x:v>
      </x:c>
      <x:c r="D32" s="23" t="n">
        <x:v>3531.04</x:v>
      </x:c>
      <x:c r="E32" s="23" t="n">
        <x:v>1033.01</x:v>
      </x:c>
      <x:c r="F32" s="22" t="str">
        <x:v>七彩云南蔬菜拼盘</x:v>
      </x:c>
      <x:c r="G32" s="36" t="n">
        <x:v>1</x:v>
      </x:c>
      <x:c r="H32" s="22" t="str">
        <x:v>名称一致</x:v>
      </x:c>
      <x:c r="I32" s="22" t="str">
        <x:v>待原料映射完成</x:v>
      </x:c>
      <x:c r="J32" s="22" t="str"/>
    </x:row>
    <x:row r="33">
      <x:c r="A33" s="22" t="str">
        <x:v>打包盒（小）</x:v>
      </x:c>
      <x:c r="B33" s="23" t="n">
        <x:v>135</x:v>
      </x:c>
      <x:c r="C33" s="23" t="n">
        <x:v>135</x:v>
      </x:c>
      <x:c r="D33" s="23" t="n">
        <x:v>106.22</x:v>
      </x:c>
      <x:c r="E33" s="23" t="n">
        <x:v>28.78</x:v>
      </x:c>
      <x:c r="F33" s="22" t="str">
        <x:v>小香肠</x:v>
      </x:c>
      <x:c r="G33" s="36" t="n">
        <x:v>0.2857</x:v>
      </x:c>
      <x:c r="H33" s="22" t="str">
        <x:v>未匹配</x:v>
      </x:c>
      <x:c r="I33" s="22" t="str">
        <x:v>否</x:v>
      </x:c>
      <x:c r="J33" s="22" t="str"/>
    </x:row>
    <x:row r="34">
      <x:c r="A34" s="22" t="str">
        <x:v>丽江七彩洋芋</x:v>
      </x:c>
      <x:c r="B34" s="23" t="n">
        <x:v>132</x:v>
      </x:c>
      <x:c r="C34" s="23" t="n">
        <x:v>1737.74</x:v>
      </x:c>
      <x:c r="D34" s="23" t="n">
        <x:v>1447.27</x:v>
      </x:c>
      <x:c r="E34" s="23" t="n">
        <x:v>290.47</x:v>
      </x:c>
      <x:c r="F34" s="22" t="str">
        <x:v>丽江七彩洋芋</x:v>
      </x:c>
      <x:c r="G34" s="36" t="n">
        <x:v>1</x:v>
      </x:c>
      <x:c r="H34" s="22" t="str">
        <x:v>名称一致</x:v>
      </x:c>
      <x:c r="I34" s="22" t="str">
        <x:v>待原料映射完成</x:v>
      </x:c>
      <x:c r="J34" s="22" t="str"/>
    </x:row>
    <x:row r="35">
      <x:c r="A35" s="22" t="str">
        <x:v>可乐摩登罐</x:v>
      </x:c>
      <x:c r="B35" s="23" t="n">
        <x:v>126</x:v>
      </x:c>
      <x:c r="C35" s="23" t="n">
        <x:v>756</x:v>
      </x:c>
      <x:c r="D35" s="23" t="n">
        <x:v>566.95</x:v>
      </x:c>
      <x:c r="E35" s="23" t="n">
        <x:v>189.05</x:v>
      </x:c>
      <x:c r="F35" s="22" t="str">
        <x:v>罐罐鲜花奶茶</x:v>
      </x:c>
      <x:c r="G35" s="36" t="n">
        <x:v>0.1818</x:v>
      </x:c>
      <x:c r="H35" s="22" t="str">
        <x:v>未匹配</x:v>
      </x:c>
      <x:c r="I35" s="22" t="str">
        <x:v>否</x:v>
      </x:c>
      <x:c r="J35" s="22" t="str"/>
    </x:row>
    <x:row r="36">
      <x:c r="A36" s="22" t="str">
        <x:v>建水香酥豆腐</x:v>
      </x:c>
      <x:c r="B36" s="23" t="n">
        <x:v>123</x:v>
      </x:c>
      <x:c r="C36" s="23" t="n">
        <x:v>2180.61</x:v>
      </x:c>
      <x:c r="D36" s="23" t="n">
        <x:v>1745.11</x:v>
      </x:c>
      <x:c r="E36" s="23" t="n">
        <x:v>435.5</x:v>
      </x:c>
      <x:c r="F36" s="22" t="str">
        <x:v>建水香酥豆腐</x:v>
      </x:c>
      <x:c r="G36" s="36" t="n">
        <x:v>1</x:v>
      </x:c>
      <x:c r="H36" s="22" t="str">
        <x:v>名称一致</x:v>
      </x:c>
      <x:c r="I36" s="22" t="str">
        <x:v>待原料映射完成</x:v>
      </x:c>
      <x:c r="J36" s="22" t="str"/>
    </x:row>
    <x:row r="37">
      <x:c r="A37" s="22" t="str">
        <x:v>8鲜山菌</x:v>
      </x:c>
      <x:c r="B37" s="23" t="n">
        <x:v>115</x:v>
      </x:c>
      <x:c r="C37" s="23" t="n">
        <x:v>17559.35</x:v>
      </x:c>
      <x:c r="D37" s="23" t="n">
        <x:v>16102.11</x:v>
      </x:c>
      <x:c r="E37" s="23" t="n">
        <x:v>1457.24</x:v>
      </x:c>
      <x:c r="F37" s="22" t="str">
        <x:v>八鲜山菌·武定跑山鸡汤锅</x:v>
      </x:c>
      <x:c r="G37" s="36" t="n">
        <x:v>0.4</x:v>
      </x:c>
      <x:c r="H37" s="22" t="str">
        <x:v>未匹配</x:v>
      </x:c>
      <x:c r="I37" s="22" t="str">
        <x:v>否</x:v>
      </x:c>
      <x:c r="J37" s="22" t="str"/>
    </x:row>
    <x:row r="38">
      <x:c r="A38" s="22" t="str">
        <x:v>脆皖鱼</x:v>
      </x:c>
      <x:c r="B38" s="23" t="n">
        <x:v>113</x:v>
      </x:c>
      <x:c r="C38" s="23" t="n">
        <x:v>4063.65</x:v>
      </x:c>
      <x:c r="D38" s="23" t="n">
        <x:v>3264.94</x:v>
      </x:c>
      <x:c r="E38" s="23" t="n">
        <x:v>798.71</x:v>
      </x:c>
      <x:c r="F38" s="22" t="str">
        <x:v>脆皖鱼</x:v>
      </x:c>
      <x:c r="G38" s="36" t="n">
        <x:v>1</x:v>
      </x:c>
      <x:c r="H38" s="22" t="str">
        <x:v>名称一致</x:v>
      </x:c>
      <x:c r="I38" s="22" t="str">
        <x:v>待原料映射完成</x:v>
      </x:c>
      <x:c r="J38" s="22" t="str"/>
    </x:row>
    <x:row r="39">
      <x:c r="A39" s="22" t="str">
        <x:v>琅琊土豆（微辣）</x:v>
      </x:c>
      <x:c r="B39" s="23" t="n">
        <x:v>106</x:v>
      </x:c>
      <x:c r="C39" s="23" t="n">
        <x:v>1908</x:v>
      </x:c>
      <x:c r="D39" s="23" t="n">
        <x:v>1452.79</x:v>
      </x:c>
      <x:c r="E39" s="23" t="n">
        <x:v>455.21</x:v>
      </x:c>
      <x:c r="F39" s="22" t="str">
        <x:v>琅琊土豆</x:v>
      </x:c>
      <x:c r="G39" s="36" t="n">
        <x:v>0.8733</x:v>
      </x:c>
      <x:c r="H39" s="22" t="str">
        <x:v>高相似待确认</x:v>
      </x:c>
      <x:c r="I39" s="22" t="str">
        <x:v>否</x:v>
      </x:c>
      <x:c r="J39" s="22" t="str"/>
    </x:row>
    <x:row r="40">
      <x:c r="A40" s="22" t="str">
        <x:v>云南鲜花饼</x:v>
      </x:c>
      <x:c r="B40" s="23" t="n">
        <x:v>100</x:v>
      </x:c>
      <x:c r="C40" s="23" t="n">
        <x:v>600</x:v>
      </x:c>
      <x:c r="D40" s="23" t="n">
        <x:v>370.45</x:v>
      </x:c>
      <x:c r="E40" s="23" t="n">
        <x:v>229.55</x:v>
      </x:c>
      <x:c r="F40" s="22" t="str">
        <x:v>云南鲜嫩牛肉</x:v>
      </x:c>
      <x:c r="G40" s="36" t="n">
        <x:v>0.5455</x:v>
      </x:c>
      <x:c r="H40" s="22" t="str">
        <x:v>未匹配</x:v>
      </x:c>
      <x:c r="I40" s="22" t="str">
        <x:v>否</x:v>
      </x:c>
      <x:c r="J40" s="22" t="str"/>
    </x:row>
    <x:row r="41">
      <x:c r="A41" s="22" t="str">
        <x:v>VC番茄芭乐</x:v>
      </x:c>
      <x:c r="B41" s="23" t="n">
        <x:v>99</x:v>
      </x:c>
      <x:c r="C41" s="23" t="n">
        <x:v>2003.88</x:v>
      </x:c>
      <x:c r="D41" s="23" t="n">
        <x:v>1658.82</x:v>
      </x:c>
      <x:c r="E41" s="23" t="n">
        <x:v>345.06</x:v>
      </x:c>
      <x:c r="F41" s="22" t="str">
        <x:v>VC番茄芭乐</x:v>
      </x:c>
      <x:c r="G41" s="36" t="n">
        <x:v>1</x:v>
      </x:c>
      <x:c r="H41" s="22" t="str">
        <x:v>名称一致</x:v>
      </x:c>
      <x:c r="I41" s="22" t="str">
        <x:v>待原料映射完成</x:v>
      </x:c>
      <x:c r="J41" s="22" t="str"/>
    </x:row>
    <x:row r="42">
      <x:c r="A42" s="22" t="str">
        <x:v>鲜切牛五花趾</x:v>
      </x:c>
      <x:c r="B42" s="23" t="n">
        <x:v>97</x:v>
      </x:c>
      <x:c r="C42" s="23" t="n">
        <x:v>4462</x:v>
      </x:c>
      <x:c r="D42" s="23" t="n">
        <x:v>3343.19</x:v>
      </x:c>
      <x:c r="E42" s="23" t="n">
        <x:v>1118.81</x:v>
      </x:c>
      <x:c r="F42" s="22" t="str">
        <x:v>鲜切牛五花趾</x:v>
      </x:c>
      <x:c r="G42" s="36" t="n">
        <x:v>1</x:v>
      </x:c>
      <x:c r="H42" s="22" t="str">
        <x:v>名称一致</x:v>
      </x:c>
      <x:c r="I42" s="22" t="str">
        <x:v>待原料映射完成</x:v>
      </x:c>
      <x:c r="J42" s="22" t="str"/>
    </x:row>
    <x:row r="43">
      <x:c r="A43" s="22" t="str">
        <x:v>山野鲜蔬</x:v>
      </x:c>
      <x:c r="B43" s="23" t="n">
        <x:v>97</x:v>
      </x:c>
      <x:c r="C43" s="23" t="n">
        <x:v>2522</x:v>
      </x:c>
      <x:c r="D43" s="23" t="n">
        <x:v>2012.91</x:v>
      </x:c>
      <x:c r="E43" s="23" t="n">
        <x:v>509.09</x:v>
      </x:c>
      <x:c r="F43" s="22" t="str">
        <x:v>山野鲜蔬</x:v>
      </x:c>
      <x:c r="G43" s="36" t="n">
        <x:v>1</x:v>
      </x:c>
      <x:c r="H43" s="22" t="str">
        <x:v>名称一致</x:v>
      </x:c>
      <x:c r="I43" s="22" t="str">
        <x:v>待原料映射完成</x:v>
      </x:c>
      <x:c r="J43" s="22" t="str"/>
    </x:row>
    <x:row r="44">
      <x:c r="A44" s="22" t="str">
        <x:v>水性杨花</x:v>
      </x:c>
      <x:c r="B44" s="23" t="n">
        <x:v>97</x:v>
      </x:c>
      <x:c r="C44" s="23" t="n">
        <x:v>1628.35</x:v>
      </x:c>
      <x:c r="D44" s="23" t="n">
        <x:v>1359.33</x:v>
      </x:c>
      <x:c r="E44" s="23" t="n">
        <x:v>269.02</x:v>
      </x:c>
      <x:c r="F44" s="22" t="str">
        <x:v>水性杨花</x:v>
      </x:c>
      <x:c r="G44" s="36" t="n">
        <x:v>1</x:v>
      </x:c>
      <x:c r="H44" s="22" t="str">
        <x:v>名称一致</x:v>
      </x:c>
      <x:c r="I44" s="22" t="str">
        <x:v>待原料映射完成</x:v>
      </x:c>
      <x:c r="J44" s="22" t="str"/>
    </x:row>
    <x:row r="45">
      <x:c r="A45" s="22" t="str">
        <x:v>四季鲜菌汤锅</x:v>
      </x:c>
      <x:c r="B45" s="23" t="n">
        <x:v>92</x:v>
      </x:c>
      <x:c r="C45" s="23" t="n">
        <x:v>9936</x:v>
      </x:c>
      <x:c r="D45" s="23" t="n">
        <x:v>6538.69</x:v>
      </x:c>
      <x:c r="E45" s="23" t="n">
        <x:v>3397.31</x:v>
      </x:c>
      <x:c r="F45" s="22" t="str">
        <x:v>八鲜山菌·武定跑山鸡汤锅</x:v>
      </x:c>
      <x:c r="G45" s="36" t="n">
        <x:v>0.4706</x:v>
      </x:c>
      <x:c r="H45" s="22" t="str">
        <x:v>未匹配</x:v>
      </x:c>
      <x:c r="I45" s="22" t="str">
        <x:v>否</x:v>
      </x:c>
      <x:c r="J45" s="22" t="str"/>
    </x:row>
    <x:row r="46">
      <x:c r="A46" s="22" t="str">
        <x:v>滇宝四小福</x:v>
      </x:c>
      <x:c r="B46" s="23" t="n">
        <x:v>91</x:v>
      </x:c>
      <x:c r="C46" s="23" t="n">
        <x:v>3458</x:v>
      </x:c>
      <x:c r="D46" s="23" t="n">
        <x:v>2638.59</x:v>
      </x:c>
      <x:c r="E46" s="23" t="n">
        <x:v>819.41</x:v>
      </x:c>
      <x:c r="F46" s="22" t="str">
        <x:v>云滇小八爪</x:v>
      </x:c>
      <x:c r="G46" s="36" t="n">
        <x:v>0.4</x:v>
      </x:c>
      <x:c r="H46" s="22" t="str">
        <x:v>未匹配</x:v>
      </x:c>
      <x:c r="I46" s="22" t="str">
        <x:v>否</x:v>
      </x:c>
      <x:c r="J46" s="22" t="str"/>
    </x:row>
    <x:row r="47">
      <x:c r="A47" s="22" t="str">
        <x:v>鞭炮笋</x:v>
      </x:c>
      <x:c r="B47" s="23" t="n">
        <x:v>90</x:v>
      </x:c>
      <x:c r="C47" s="23" t="n">
        <x:v>1080</x:v>
      </x:c>
      <x:c r="D47" s="23" t="n">
        <x:v>844.92</x:v>
      </x:c>
      <x:c r="E47" s="23" t="n">
        <x:v>235.08</x:v>
      </x:c>
      <x:c r="F47" s="22" t="str">
        <x:v>手剥丛林嫩笋</x:v>
      </x:c>
      <x:c r="G47" s="36" t="n">
        <x:v>0.2222</x:v>
      </x:c>
      <x:c r="H47" s="22" t="str">
        <x:v>未匹配</x:v>
      </x:c>
      <x:c r="I47" s="22" t="str">
        <x:v>否</x:v>
      </x:c>
      <x:c r="J47" s="22" t="str"/>
    </x:row>
    <x:row r="48">
      <x:c r="A48" s="22" t="str">
        <x:v>手剥丛林嫩笋</x:v>
      </x:c>
      <x:c r="B48" s="23" t="n">
        <x:v>86</x:v>
      </x:c>
      <x:c r="C48" s="23" t="n">
        <x:v>1548</x:v>
      </x:c>
      <x:c r="D48" s="23" t="n">
        <x:v>1117.44</x:v>
      </x:c>
      <x:c r="E48" s="23" t="n">
        <x:v>430.56</x:v>
      </x:c>
      <x:c r="F48" s="22" t="str">
        <x:v>手剥丛林嫩笋</x:v>
      </x:c>
      <x:c r="G48" s="36" t="n">
        <x:v>1</x:v>
      </x:c>
      <x:c r="H48" s="22" t="str">
        <x:v>名称一致</x:v>
      </x:c>
      <x:c r="I48" s="22" t="str">
        <x:v>待原料映射完成</x:v>
      </x:c>
      <x:c r="J48" s="22" t="str"/>
    </x:row>
    <x:row r="49">
      <x:c r="A49" s="22" t="str">
        <x:v>鲜打牛肉丸</x:v>
      </x:c>
      <x:c r="B49" s="23" t="n">
        <x:v>81</x:v>
      </x:c>
      <x:c r="C49" s="23" t="n">
        <x:v>2441.96</x:v>
      </x:c>
      <x:c r="D49" s="23" t="n">
        <x:v>2049.82</x:v>
      </x:c>
      <x:c r="E49" s="23" t="n">
        <x:v>392.14</x:v>
      </x:c>
      <x:c r="F49" s="22" t="str">
        <x:v>手打牛肉丸</x:v>
      </x:c>
      <x:c r="G49" s="36" t="n">
        <x:v>0.8</x:v>
      </x:c>
      <x:c r="H49" s="22" t="str">
        <x:v>可能匹配待确认</x:v>
      </x:c>
      <x:c r="I49" s="22" t="str">
        <x:v>否</x:v>
      </x:c>
      <x:c r="J49" s="22" t="str"/>
    </x:row>
    <x:row r="50">
      <x:c r="A50" s="22" t="str">
        <x:v>轻颜羽衣甘蓝</x:v>
      </x:c>
      <x:c r="B50" s="23" t="n">
        <x:v>79</x:v>
      </x:c>
      <x:c r="C50" s="23" t="n">
        <x:v>1560.67</x:v>
      </x:c>
      <x:c r="D50" s="23" t="n">
        <x:v>1293.2</x:v>
      </x:c>
      <x:c r="E50" s="23" t="n">
        <x:v>267.47</x:v>
      </x:c>
      <x:c r="F50" s="22" t="str">
        <x:v>轻颜羽衣甘蓝</x:v>
      </x:c>
      <x:c r="G50" s="36" t="n">
        <x:v>1</x:v>
      </x:c>
      <x:c r="H50" s="22" t="str">
        <x:v>名称一致</x:v>
      </x:c>
      <x:c r="I50" s="22" t="str">
        <x:v>待原料映射完成</x:v>
      </x:c>
      <x:c r="J50" s="22" t="str"/>
    </x:row>
    <x:row r="51">
      <x:c r="A51" s="22" t="str">
        <x:v>长寿菜</x:v>
      </x:c>
      <x:c r="B51" s="23" t="n">
        <x:v>73</x:v>
      </x:c>
      <x:c r="C51" s="23" t="n">
        <x:v>876</x:v>
      </x:c>
      <x:c r="D51" s="23" t="n">
        <x:v>672.04</x:v>
      </x:c>
      <x:c r="E51" s="23" t="n">
        <x:v>203.96</x:v>
      </x:c>
      <x:c r="F51" s="22" t="str">
        <x:v>豌豆苗/长寿菜</x:v>
      </x:c>
      <x:c r="G51" s="36" t="n">
        <x:v>0.84</x:v>
      </x:c>
      <x:c r="H51" s="22" t="str">
        <x:v>可能匹配待确认</x:v>
      </x:c>
      <x:c r="I51" s="22" t="str">
        <x:v>否</x:v>
      </x:c>
      <x:c r="J51" s="22" t="str"/>
    </x:row>
    <x:row r="52">
      <x:c r="A52" s="22" t="str">
        <x:v>脆爽黄喉</x:v>
      </x:c>
      <x:c r="B52" s="23" t="n">
        <x:v>71</x:v>
      </x:c>
      <x:c r="C52" s="23" t="n">
        <x:v>2556</x:v>
      </x:c>
      <x:c r="D52" s="23" t="n">
        <x:v>1948.1</x:v>
      </x:c>
      <x:c r="E52" s="23" t="n">
        <x:v>607.9</x:v>
      </x:c>
      <x:c r="F52" s="22" t="str">
        <x:v>脆爽黄喉</x:v>
      </x:c>
      <x:c r="G52" s="36" t="n">
        <x:v>1</x:v>
      </x:c>
      <x:c r="H52" s="22" t="str">
        <x:v>名称一致</x:v>
      </x:c>
      <x:c r="I52" s="22" t="str">
        <x:v>待原料映射完成</x:v>
      </x:c>
      <x:c r="J52" s="22" t="str"/>
    </x:row>
    <x:row r="53">
      <x:c r="A53" s="22" t="str">
        <x:v>红乌苏</x:v>
      </x:c>
      <x:c r="B53" s="23" t="n">
        <x:v>71</x:v>
      </x:c>
      <x:c r="C53" s="23" t="n">
        <x:v>852</x:v>
      </x:c>
      <x:c r="D53" s="23" t="n">
        <x:v>745.38</x:v>
      </x:c>
      <x:c r="E53" s="23" t="n">
        <x:v>106.62</x:v>
      </x:c>
      <x:c r="F53" s="22" t="str">
        <x:v>白里透红</x:v>
      </x:c>
      <x:c r="G53" s="36" t="n">
        <x:v>0.2857</x:v>
      </x:c>
      <x:c r="H53" s="22" t="str">
        <x:v>未匹配</x:v>
      </x:c>
      <x:c r="I53" s="22" t="str">
        <x:v>否</x:v>
      </x:c>
      <x:c r="J53" s="22" t="str"/>
    </x:row>
    <x:row r="54">
      <x:c r="A54" s="22" t="str">
        <x:v>雪碧摩登罐</x:v>
      </x:c>
      <x:c r="B54" s="23" t="n">
        <x:v>68</x:v>
      </x:c>
      <x:c r="C54" s="23" t="n">
        <x:v>408</x:v>
      </x:c>
      <x:c r="D54" s="23" t="n">
        <x:v>265.91</x:v>
      </x:c>
      <x:c r="E54" s="23" t="n">
        <x:v>142.09</x:v>
      </x:c>
      <x:c r="F54" s="22" t="str">
        <x:v>芒芒雪酪</x:v>
      </x:c>
      <x:c r="G54" s="36" t="n">
        <x:v>0.2222</x:v>
      </x:c>
      <x:c r="H54" s="22" t="str">
        <x:v>未匹配</x:v>
      </x:c>
      <x:c r="I54" s="22" t="str">
        <x:v>否</x:v>
      </x:c>
      <x:c r="J54" s="22" t="str"/>
    </x:row>
    <x:row r="55">
      <x:c r="A55" s="22" t="str">
        <x:v>爆味见手青</x:v>
      </x:c>
      <x:c r="B55" s="23" t="n">
        <x:v>67</x:v>
      </x:c>
      <x:c r="C55" s="23" t="n">
        <x:v>10653</x:v>
      </x:c>
      <x:c r="D55" s="23" t="n">
        <x:v>6103.22</x:v>
      </x:c>
      <x:c r="E55" s="23" t="n">
        <x:v>4549.78</x:v>
      </x:c>
      <x:c r="F55" s="22" t="str">
        <x:v>爆味见手青</x:v>
      </x:c>
      <x:c r="G55" s="36" t="n">
        <x:v>1</x:v>
      </x:c>
      <x:c r="H55" s="22" t="str">
        <x:v>名称一致</x:v>
      </x:c>
      <x:c r="I55" s="22" t="str">
        <x:v>待原料映射完成</x:v>
      </x:c>
      <x:c r="J55" s="22" t="str"/>
    </x:row>
    <x:row r="56">
      <x:c r="A56" s="22" t="str">
        <x:v>云南鲜嫩牛肉</x:v>
      </x:c>
      <x:c r="B56" s="23" t="n">
        <x:v>66</x:v>
      </x:c>
      <x:c r="C56" s="23" t="n">
        <x:v>3036</x:v>
      </x:c>
      <x:c r="D56" s="23" t="n">
        <x:v>2225.92</x:v>
      </x:c>
      <x:c r="E56" s="23" t="n">
        <x:v>810.08</x:v>
      </x:c>
      <x:c r="F56" s="22" t="str">
        <x:v>云南鲜嫩牛肉</x:v>
      </x:c>
      <x:c r="G56" s="36" t="n">
        <x:v>1</x:v>
      </x:c>
      <x:c r="H56" s="22" t="str">
        <x:v>名称一致</x:v>
      </x:c>
      <x:c r="I56" s="22" t="str">
        <x:v>待原料映射完成</x:v>
      </x:c>
      <x:c r="J56" s="22" t="str"/>
    </x:row>
    <x:row r="57">
      <x:c r="A57" s="22" t="str">
        <x:v>小香肠</x:v>
      </x:c>
      <x:c r="B57" s="23" t="n">
        <x:v>65</x:v>
      </x:c>
      <x:c r="C57" s="23" t="n">
        <x:v>1170</x:v>
      </x:c>
      <x:c r="D57" s="23" t="n">
        <x:v>901.46</x:v>
      </x:c>
      <x:c r="E57" s="23" t="n">
        <x:v>268.54</x:v>
      </x:c>
      <x:c r="F57" s="22" t="str">
        <x:v>小香肠</x:v>
      </x:c>
      <x:c r="G57" s="36" t="n">
        <x:v>1</x:v>
      </x:c>
      <x:c r="H57" s="22" t="str">
        <x:v>名称一致</x:v>
      </x:c>
      <x:c r="I57" s="22" t="str">
        <x:v>待原料映射完成</x:v>
      </x:c>
      <x:c r="J57" s="22" t="str"/>
    </x:row>
    <x:row r="58">
      <x:c r="A58" s="22" t="str">
        <x:v>绣球菌</x:v>
      </x:c>
      <x:c r="B58" s="23" t="n">
        <x:v>65</x:v>
      </x:c>
      <x:c r="C58" s="23" t="n">
        <x:v>1093.5</x:v>
      </x:c>
      <x:c r="D58" s="23" t="n">
        <x:v>806.5</x:v>
      </x:c>
      <x:c r="E58" s="23" t="n">
        <x:v>287</x:v>
      </x:c>
      <x:c r="F58" s="22" t="str">
        <x:v>绣球菌</x:v>
      </x:c>
      <x:c r="G58" s="36" t="n">
        <x:v>1</x:v>
      </x:c>
      <x:c r="H58" s="22" t="str">
        <x:v>名称一致</x:v>
      </x:c>
      <x:c r="I58" s="22" t="str">
        <x:v>待原料映射完成</x:v>
      </x:c>
      <x:c r="J58" s="22" t="str"/>
    </x:row>
    <x:row r="59">
      <x:c r="A59" s="22" t="str">
        <x:v>纳西族腊排骨</x:v>
      </x:c>
      <x:c r="B59" s="23" t="n">
        <x:v>64</x:v>
      </x:c>
      <x:c r="C59" s="23" t="n">
        <x:v>3712</x:v>
      </x:c>
      <x:c r="D59" s="23" t="n">
        <x:v>2863.7</x:v>
      </x:c>
      <x:c r="E59" s="23" t="n">
        <x:v>848.3</x:v>
      </x:c>
      <x:c r="F59" s="22" t="str">
        <x:v>纳西族腊排骨</x:v>
      </x:c>
      <x:c r="G59" s="36" t="n">
        <x:v>1</x:v>
      </x:c>
      <x:c r="H59" s="22" t="str">
        <x:v>名称一致</x:v>
      </x:c>
      <x:c r="I59" s="22" t="str">
        <x:v>待原料映射完成</x:v>
      </x:c>
      <x:c r="J59" s="22" t="str"/>
    </x:row>
    <x:row r="60">
      <x:c r="A60" s="22" t="str">
        <x:v>手打牛肉丸</x:v>
      </x:c>
      <x:c r="B60" s="23" t="n">
        <x:v>64</x:v>
      </x:c>
      <x:c r="C60" s="23" t="n">
        <x:v>1664</x:v>
      </x:c>
      <x:c r="D60" s="23" t="n">
        <x:v>1273.85</x:v>
      </x:c>
      <x:c r="E60" s="23" t="n">
        <x:v>390.15</x:v>
      </x:c>
      <x:c r="F60" s="22" t="str">
        <x:v>手打牛肉丸</x:v>
      </x:c>
      <x:c r="G60" s="36" t="n">
        <x:v>1</x:v>
      </x:c>
      <x:c r="H60" s="22" t="str">
        <x:v>名称一致</x:v>
      </x:c>
      <x:c r="I60" s="22" t="str">
        <x:v>待原料映射完成</x:v>
      </x:c>
      <x:c r="J60" s="22" t="str"/>
    </x:row>
    <x:row r="61">
      <x:c r="A61" s="22" t="str">
        <x:v>傣味舂鸡脚</x:v>
      </x:c>
      <x:c r="B61" s="23" t="n">
        <x:v>63</x:v>
      </x:c>
      <x:c r="C61" s="23" t="n">
        <x:v>2268</x:v>
      </x:c>
      <x:c r="D61" s="23" t="n">
        <x:v>1833.78</x:v>
      </x:c>
      <x:c r="E61" s="23" t="n">
        <x:v>434.22</x:v>
      </x:c>
      <x:c r="F61" s="22" t="str">
        <x:v>傣味舂鸡脚</x:v>
      </x:c>
      <x:c r="G61" s="36" t="n">
        <x:v>1</x:v>
      </x:c>
      <x:c r="H61" s="22" t="str">
        <x:v>名称一致</x:v>
      </x:c>
      <x:c r="I61" s="22" t="str">
        <x:v>待原料映射完成</x:v>
      </x:c>
      <x:c r="J61" s="22" t="str"/>
    </x:row>
    <x:row r="62">
      <x:c r="A62" s="22" t="str">
        <x:v>10 秒脆鸭肠</x:v>
      </x:c>
      <x:c r="B62" s="23" t="n">
        <x:v>63</x:v>
      </x:c>
      <x:c r="C62" s="23" t="n">
        <x:v>1638</x:v>
      </x:c>
      <x:c r="D62" s="23" t="n">
        <x:v>1295.62</x:v>
      </x:c>
      <x:c r="E62" s="23" t="n">
        <x:v>342.38</x:v>
      </x:c>
      <x:c r="F62" s="22" t="str">
        <x:v>鸭肠</x:v>
      </x:c>
      <x:c r="G62" s="36" t="n">
        <x:v>0.8067</x:v>
      </x:c>
      <x:c r="H62" s="22" t="str">
        <x:v>可能匹配待确认</x:v>
      </x:c>
      <x:c r="I62" s="22" t="str">
        <x:v>否</x:v>
      </x:c>
      <x:c r="J62" s="22" t="str"/>
    </x:row>
    <x:row r="63">
      <x:c r="A63" s="22" t="str">
        <x:v>八鲜山菌·武定跑山鸡汤锅</x:v>
      </x:c>
      <x:c r="B63" s="23" t="n">
        <x:v>62</x:v>
      </x:c>
      <x:c r="C63" s="23" t="n">
        <x:v>13366.97</x:v>
      </x:c>
      <x:c r="D63" s="23" t="n">
        <x:v>9131.92</x:v>
      </x:c>
      <x:c r="E63" s="23" t="n">
        <x:v>4235.05</x:v>
      </x:c>
      <x:c r="F63" s="22" t="str">
        <x:v>八鲜山菌·武定跑山鸡汤锅</x:v>
      </x:c>
      <x:c r="G63" s="36" t="n">
        <x:v>1</x:v>
      </x:c>
      <x:c r="H63" s="22" t="str">
        <x:v>名称一致</x:v>
      </x:c>
      <x:c r="I63" s="22" t="str">
        <x:v>待原料映射完成</x:v>
      </x:c>
      <x:c r="J63" s="22" t="str"/>
    </x:row>
    <x:row r="64">
      <x:c r="A64" s="22" t="str">
        <x:v>翡翠贡菜</x:v>
      </x:c>
      <x:c r="B64" s="23" t="n">
        <x:v>59</x:v>
      </x:c>
      <x:c r="C64" s="23" t="n">
        <x:v>944</x:v>
      </x:c>
      <x:c r="D64" s="23" t="n">
        <x:v>728.45</x:v>
      </x:c>
      <x:c r="E64" s="23" t="n">
        <x:v>215.55</x:v>
      </x:c>
      <x:c r="F64" s="22" t="str">
        <x:v>翡翠贡菜</x:v>
      </x:c>
      <x:c r="G64" s="36" t="n">
        <x:v>1</x:v>
      </x:c>
      <x:c r="H64" s="22" t="str">
        <x:v>名称一致</x:v>
      </x:c>
      <x:c r="I64" s="22" t="str">
        <x:v>待原料映射完成</x:v>
      </x:c>
      <x:c r="J64" s="22" t="str"/>
    </x:row>
    <x:row r="65">
      <x:c r="A65" s="22" t="str">
        <x:v>千丝蟹柳</x:v>
      </x:c>
      <x:c r="B65" s="23" t="n">
        <x:v>57</x:v>
      </x:c>
      <x:c r="C65" s="23" t="n">
        <x:v>1140</x:v>
      </x:c>
      <x:c r="D65" s="23" t="n">
        <x:v>918.71</x:v>
      </x:c>
      <x:c r="E65" s="23" t="n">
        <x:v>221.29</x:v>
      </x:c>
      <x:c r="F65" s="22" t="str">
        <x:v>千丝蟹柳</x:v>
      </x:c>
      <x:c r="G65" s="36" t="n">
        <x:v>1</x:v>
      </x:c>
      <x:c r="H65" s="22" t="str">
        <x:v>名称一致</x:v>
      </x:c>
      <x:c r="I65" s="22" t="str">
        <x:v>待原料映射完成</x:v>
      </x:c>
      <x:c r="J65" s="22" t="str"/>
    </x:row>
    <x:row r="66">
      <x:c r="A66" s="22" t="str">
        <x:v>竹荪菌</x:v>
      </x:c>
      <x:c r="B66" s="23" t="n">
        <x:v>56</x:v>
      </x:c>
      <x:c r="C66" s="23" t="n">
        <x:v>1674.4</x:v>
      </x:c>
      <x:c r="D66" s="23" t="n">
        <x:v>1264.42</x:v>
      </x:c>
      <x:c r="E66" s="23" t="n">
        <x:v>409.98</x:v>
      </x:c>
      <x:c r="F66" s="22" t="str">
        <x:v>竹荪</x:v>
      </x:c>
      <x:c r="G66" s="36" t="n">
        <x:v>0.8733</x:v>
      </x:c>
      <x:c r="H66" s="22" t="str">
        <x:v>高相似待确认</x:v>
      </x:c>
      <x:c r="I66" s="22" t="str">
        <x:v>否</x:v>
      </x:c>
      <x:c r="J66" s="22" t="str"/>
    </x:row>
    <x:row r="67">
      <x:c r="A67" s="22" t="str">
        <x:v>和牛·奶香雪花牛</x:v>
      </x:c>
      <x:c r="B67" s="23" t="n">
        <x:v>51</x:v>
      </x:c>
      <x:c r="C67" s="23" t="n">
        <x:v>3243.24</x:v>
      </x:c>
      <x:c r="D67" s="23" t="n">
        <x:v>2613.63</x:v>
      </x:c>
      <x:c r="E67" s="23" t="n">
        <x:v>629.61</x:v>
      </x:c>
      <x:c r="F67" s="22" t="str">
        <x:v>奶香雪花牛</x:v>
      </x:c>
      <x:c r="G67" s="36" t="n">
        <x:v>0.8829</x:v>
      </x:c>
      <x:c r="H67" s="22" t="str">
        <x:v>高相似待确认</x:v>
      </x:c>
      <x:c r="I67" s="22" t="str">
        <x:v>否</x:v>
      </x:c>
      <x:c r="J67" s="22" t="str"/>
    </x:row>
    <x:row r="68">
      <x:c r="A68" s="22" t="str">
        <x:v>打包盒大</x:v>
      </x:c>
      <x:c r="B68" s="23" t="n">
        <x:v>49</x:v>
      </x:c>
      <x:c r="C68" s="23" t="n">
        <x:v>147</x:v>
      </x:c>
      <x:c r="D68" s="23" t="n">
        <x:v>127.43</x:v>
      </x:c>
      <x:c r="E68" s="23" t="n">
        <x:v>19.57</x:v>
      </x:c>
      <x:c r="F68" s="22" t="str">
        <x:v>维C大满足</x:v>
      </x:c>
      <x:c r="G68" s="36" t="n">
        <x:v>0.2222</x:v>
      </x:c>
      <x:c r="H68" s="22" t="str">
        <x:v>未匹配</x:v>
      </x:c>
      <x:c r="I68" s="22" t="str">
        <x:v>否</x:v>
      </x:c>
      <x:c r="J68" s="22" t="str"/>
    </x:row>
    <x:row r="69">
      <x:c r="A69" s="22" t="str">
        <x:v>乳山大生蚝</x:v>
      </x:c>
      <x:c r="B69" s="23" t="n">
        <x:v>48</x:v>
      </x:c>
      <x:c r="C69" s="23" t="n">
        <x:v>864</x:v>
      </x:c>
      <x:c r="D69" s="23" t="n">
        <x:v>686</x:v>
      </x:c>
      <x:c r="E69" s="23" t="n">
        <x:v>178</x:v>
      </x:c>
      <x:c r="F69" s="22" t="str">
        <x:v>乳山大生蚝</x:v>
      </x:c>
      <x:c r="G69" s="36" t="n">
        <x:v>1</x:v>
      </x:c>
      <x:c r="H69" s="22" t="str">
        <x:v>名称一致</x:v>
      </x:c>
      <x:c r="I69" s="22" t="str">
        <x:v>待原料映射完成</x:v>
      </x:c>
      <x:c r="J69" s="22" t="str"/>
    </x:row>
    <x:row r="70">
      <x:c r="A70" s="22" t="str">
        <x:v>乐堡啤酒</x:v>
      </x:c>
      <x:c r="B70" s="23" t="n">
        <x:v>48</x:v>
      </x:c>
      <x:c r="C70" s="23" t="n">
        <x:v>480</x:v>
      </x:c>
      <x:c r="D70" s="23" t="n">
        <x:v>420.06</x:v>
      </x:c>
      <x:c r="E70" s="23" t="n">
        <x:v>59.94</x:v>
      </x:c>
      <x:c r="F70" s="22" t="str">
        <x:v>鲜花米奶酒</x:v>
      </x:c>
      <x:c r="G70" s="36" t="n">
        <x:v>0.2222</x:v>
      </x:c>
      <x:c r="H70" s="22" t="str">
        <x:v>未匹配</x:v>
      </x:c>
      <x:c r="I70" s="22" t="str">
        <x:v>否</x:v>
      </x:c>
      <x:c r="J70" s="22" t="str"/>
    </x:row>
    <x:row r="71">
      <x:c r="A71" s="22" t="str">
        <x:v>和牛 M7·奶香雪花牛</x:v>
      </x:c>
      <x:c r="B71" s="23" t="n">
        <x:v>46</x:v>
      </x:c>
      <x:c r="C71" s="23" t="n">
        <x:v>3036</x:v>
      </x:c>
      <x:c r="D71" s="23" t="n">
        <x:v>2253.29</x:v>
      </x:c>
      <x:c r="E71" s="23" t="n">
        <x:v>782.71</x:v>
      </x:c>
      <x:c r="F71" s="22" t="str">
        <x:v>奶香雪花牛</x:v>
      </x:c>
      <x:c r="G71" s="36" t="n">
        <x:v>0.8511</x:v>
      </x:c>
      <x:c r="H71" s="22" t="str">
        <x:v>可能匹配待确认</x:v>
      </x:c>
      <x:c r="I71" s="22" t="str">
        <x:v>否</x:v>
      </x:c>
      <x:c r="J71" s="22" t="str"/>
    </x:row>
    <x:row r="72">
      <x:c r="A72" s="22" t="str">
        <x:v>傣味海螺片</x:v>
      </x:c>
      <x:c r="B72" s="23" t="n">
        <x:v>45</x:v>
      </x:c>
      <x:c r="C72" s="23" t="n">
        <x:v>1620</x:v>
      </x:c>
      <x:c r="D72" s="23" t="n">
        <x:v>1256.9</x:v>
      </x:c>
      <x:c r="E72" s="23" t="n">
        <x:v>363.1</x:v>
      </x:c>
      <x:c r="F72" s="22" t="str">
        <x:v>傣味海螺片</x:v>
      </x:c>
      <x:c r="G72" s="36" t="n">
        <x:v>1</x:v>
      </x:c>
      <x:c r="H72" s="22" t="str">
        <x:v>名称一致</x:v>
      </x:c>
      <x:c r="I72" s="22" t="str">
        <x:v>待原料映射完成</x:v>
      </x:c>
      <x:c r="J72" s="22" t="str"/>
    </x:row>
    <x:row r="73">
      <x:c r="A73" s="22" t="str">
        <x:v>紫山药</x:v>
      </x:c>
      <x:c r="B73" s="23" t="n">
        <x:v>45</x:v>
      </x:c>
      <x:c r="C73" s="23" t="n">
        <x:v>776.61</x:v>
      </x:c>
      <x:c r="D73" s="23" t="n">
        <x:v>504.16</x:v>
      </x:c>
      <x:c r="E73" s="23" t="n">
        <x:v>272.45</x:v>
      </x:c>
      <x:c r="F73" s="22" t="str">
        <x:v>紫山药</x:v>
      </x:c>
      <x:c r="G73" s="36" t="n">
        <x:v>1</x:v>
      </x:c>
      <x:c r="H73" s="22" t="str">
        <x:v>名称一致</x:v>
      </x:c>
      <x:c r="I73" s="22" t="str">
        <x:v>待原料映射完成</x:v>
      </x:c>
      <x:c r="J73" s="22" t="str"/>
    </x:row>
    <x:row r="74">
      <x:c r="A74" s="22" t="str">
        <x:v>黑皮鸡枞</x:v>
      </x:c>
      <x:c r="B74" s="23" t="n">
        <x:v>44</x:v>
      </x:c>
      <x:c r="C74" s="23" t="n">
        <x:v>875.6</x:v>
      </x:c>
      <x:c r="D74" s="23" t="n">
        <x:v>489.94</x:v>
      </x:c>
      <x:c r="E74" s="23" t="n">
        <x:v>385.66</x:v>
      </x:c>
      <x:c r="F74" s="22" t="str">
        <x:v>黑皮鸡纵</x:v>
      </x:c>
      <x:c r="G74" s="36" t="n">
        <x:v>1</x:v>
      </x:c>
      <x:c r="H74" s="22" t="str">
        <x:v>名称一致</x:v>
      </x:c>
      <x:c r="I74" s="22" t="str">
        <x:v>待原料映射完成</x:v>
      </x:c>
      <x:c r="J74" s="22" t="str"/>
    </x:row>
    <x:row r="75">
      <x:c r="A75" s="22" t="str">
        <x:v>猪肉饼</x:v>
      </x:c>
      <x:c r="B75" s="23" t="n">
        <x:v>44</x:v>
      </x:c>
      <x:c r="C75" s="23" t="n">
        <x:v>792</x:v>
      </x:c>
      <x:c r="D75" s="23" t="n">
        <x:v>624.34</x:v>
      </x:c>
      <x:c r="E75" s="23" t="n">
        <x:v>167.66</x:v>
      </x:c>
      <x:c r="F75" s="22" t="str">
        <x:v>猪肉饼</x:v>
      </x:c>
      <x:c r="G75" s="36" t="n">
        <x:v>1</x:v>
      </x:c>
      <x:c r="H75" s="22" t="str">
        <x:v>名称一致</x:v>
      </x:c>
      <x:c r="I75" s="22" t="str">
        <x:v>待原料映射完成</x:v>
      </x:c>
      <x:c r="J75" s="22" t="str"/>
    </x:row>
    <x:row r="76">
      <x:c r="A76" s="22" t="str">
        <x:v>芒芒雪酪</x:v>
      </x:c>
      <x:c r="B76" s="23" t="n">
        <x:v>42</x:v>
      </x:c>
      <x:c r="C76" s="23" t="n">
        <x:v>924</x:v>
      </x:c>
      <x:c r="D76" s="23" t="n">
        <x:v>694.7</x:v>
      </x:c>
      <x:c r="E76" s="23" t="n">
        <x:v>229.3</x:v>
      </x:c>
      <x:c r="F76" s="22" t="str">
        <x:v>芒芒雪酪</x:v>
      </x:c>
      <x:c r="G76" s="36" t="n">
        <x:v>1</x:v>
      </x:c>
      <x:c r="H76" s="22" t="str">
        <x:v>名称一致</x:v>
      </x:c>
      <x:c r="I76" s="22" t="str">
        <x:v>待原料映射完成</x:v>
      </x:c>
      <x:c r="J76" s="22" t="str"/>
    </x:row>
    <x:row r="77">
      <x:c r="A77" s="22" t="str">
        <x:v>云南曲靖饵块</x:v>
      </x:c>
      <x:c r="B77" s="23" t="n">
        <x:v>42</x:v>
      </x:c>
      <x:c r="C77" s="23" t="n">
        <x:v>481.77</x:v>
      </x:c>
      <x:c r="D77" s="23" t="n">
        <x:v>372.49</x:v>
      </x:c>
      <x:c r="E77" s="23" t="n">
        <x:v>109.28</x:v>
      </x:c>
      <x:c r="F77" s="22" t="str">
        <x:v>云南曲靖饵块</x:v>
      </x:c>
      <x:c r="G77" s="36" t="n">
        <x:v>1</x:v>
      </x:c>
      <x:c r="H77" s="22" t="str">
        <x:v>名称一致</x:v>
      </x:c>
      <x:c r="I77" s="22" t="str">
        <x:v>待原料映射完成</x:v>
      </x:c>
      <x:c r="J77" s="22" t="str"/>
    </x:row>
    <x:row r="78">
      <x:c r="A78" s="22" t="str">
        <x:v>云南姜柄瓜</x:v>
      </x:c>
      <x:c r="B78" s="23" t="n">
        <x:v>41</x:v>
      </x:c>
      <x:c r="C78" s="23" t="n">
        <x:v>469.77</x:v>
      </x:c>
      <x:c r="D78" s="23" t="n">
        <x:v>332.15</x:v>
      </x:c>
      <x:c r="E78" s="23" t="n">
        <x:v>137.62</x:v>
      </x:c>
      <x:c r="F78" s="22" t="str">
        <x:v>云南姜柄瓜</x:v>
      </x:c>
      <x:c r="G78" s="36" t="n">
        <x:v>1</x:v>
      </x:c>
      <x:c r="H78" s="22" t="str">
        <x:v>名称一致</x:v>
      </x:c>
      <x:c r="I78" s="22" t="str">
        <x:v>待原料映射完成</x:v>
      </x:c>
      <x:c r="J78" s="22" t="str"/>
    </x:row>
    <x:row r="79">
      <x:c r="A79" s="22" t="str">
        <x:v>鲜打牛肉丸（鲜菌味）</x:v>
      </x:c>
      <x:c r="B79" s="23" t="n">
        <x:v>40</x:v>
      </x:c>
      <x:c r="C79" s="23" t="n">
        <x:v>400</x:v>
      </x:c>
      <x:c r="D79" s="23" t="n">
        <x:v>79.4</x:v>
      </x:c>
      <x:c r="E79" s="23" t="n">
        <x:v>320.6</x:v>
      </x:c>
      <x:c r="F79" s="22" t="str">
        <x:v>手打牛肉丸</x:v>
      </x:c>
      <x:c r="G79" s="36" t="n">
        <x:v>0.6154</x:v>
      </x:c>
      <x:c r="H79" s="22" t="str">
        <x:v>未匹配</x:v>
      </x:c>
      <x:c r="I79" s="22" t="str">
        <x:v>否</x:v>
      </x:c>
      <x:c r="J79" s="22" t="str"/>
    </x:row>
    <x:row r="80">
      <x:c r="A80" s="22" t="str">
        <x:v>蓝莓浆浆</x:v>
      </x:c>
      <x:c r="B80" s="23" t="n">
        <x:v>36</x:v>
      </x:c>
      <x:c r="C80" s="23" t="n">
        <x:v>792</x:v>
      </x:c>
      <x:c r="D80" s="23" t="n">
        <x:v>585.12</x:v>
      </x:c>
      <x:c r="E80" s="23" t="n">
        <x:v>206.88</x:v>
      </x:c>
      <x:c r="F80" s="22" t="str">
        <x:v>蓝莓浆浆</x:v>
      </x:c>
      <x:c r="G80" s="36" t="n">
        <x:v>1</x:v>
      </x:c>
      <x:c r="H80" s="22" t="str">
        <x:v>名称一致</x:v>
      </x:c>
      <x:c r="I80" s="22" t="str">
        <x:v>待原料映射完成</x:v>
      </x:c>
      <x:c r="J80" s="22" t="str"/>
    </x:row>
    <x:row r="81">
      <x:c r="A81" s="22" t="str">
        <x:v>凉拌折耳根</x:v>
      </x:c>
      <x:c r="B81" s="23" t="n">
        <x:v>36</x:v>
      </x:c>
      <x:c r="C81" s="23" t="n">
        <x:v>648</x:v>
      </x:c>
      <x:c r="D81" s="23" t="n">
        <x:v>528.76</x:v>
      </x:c>
      <x:c r="E81" s="23" t="n">
        <x:v>119.24</x:v>
      </x:c>
      <x:c r="F81" s="22" t="str">
        <x:v>凉拌折耳根</x:v>
      </x:c>
      <x:c r="G81" s="36" t="n">
        <x:v>1</x:v>
      </x:c>
      <x:c r="H81" s="22" t="str">
        <x:v>名称一致</x:v>
      </x:c>
      <x:c r="I81" s="22" t="str">
        <x:v>待原料映射完成</x:v>
      </x:c>
      <x:c r="J81" s="22" t="str"/>
    </x:row>
    <x:row r="82">
      <x:c r="A82" s="22" t="str">
        <x:v>傣味柠檬虾</x:v>
      </x:c>
      <x:c r="B82" s="23" t="n">
        <x:v>35</x:v>
      </x:c>
      <x:c r="C82" s="23" t="n">
        <x:v>2030</x:v>
      </x:c>
      <x:c r="D82" s="23" t="n">
        <x:v>1646.91</x:v>
      </x:c>
      <x:c r="E82" s="23" t="n">
        <x:v>383.09</x:v>
      </x:c>
      <x:c r="F82" s="22" t="str">
        <x:v>傣味柠檬虾</x:v>
      </x:c>
      <x:c r="G82" s="36" t="n">
        <x:v>1</x:v>
      </x:c>
      <x:c r="H82" s="22" t="str">
        <x:v>名称一致</x:v>
      </x:c>
      <x:c r="I82" s="22" t="str">
        <x:v>待原料映射完成</x:v>
      </x:c>
      <x:c r="J82" s="22" t="str"/>
    </x:row>
    <x:row r="83">
      <x:c r="A83" s="22" t="str">
        <x:v>纸巾</x:v>
      </x:c>
      <x:c r="B83" s="23" t="n">
        <x:v>35</x:v>
      </x:c>
      <x:c r="C83" s="23" t="n">
        <x:v>35</x:v>
      </x:c>
      <x:c r="D83" s="23" t="n">
        <x:v>28.69</x:v>
      </x:c>
      <x:c r="E83" s="23" t="n">
        <x:v>6.31</x:v>
      </x:c>
      <x:c r="F83" s="22" t="str">
        <x:v>黑皮鸡纵</x:v>
      </x:c>
      <x:c r="G83" s="36" t="n">
        <x:v>0</x:v>
      </x:c>
      <x:c r="H83" s="22" t="str">
        <x:v>未匹配</x:v>
      </x:c>
      <x:c r="I83" s="22" t="str">
        <x:v>否</x:v>
      </x:c>
      <x:c r="J83" s="22" t="str"/>
    </x:row>
    <x:row r="84">
      <x:c r="A84" s="22" t="str">
        <x:v>云南草本鲜牛肉</x:v>
      </x:c>
      <x:c r="B84" s="23" t="n">
        <x:v>33</x:v>
      </x:c>
      <x:c r="C84" s="23" t="n">
        <x:v>2150.55</x:v>
      </x:c>
      <x:c r="D84" s="23" t="n">
        <x:v>1721.5</x:v>
      </x:c>
      <x:c r="E84" s="23" t="n">
        <x:v>429.05</x:v>
      </x:c>
      <x:c r="F84" s="22" t="str">
        <x:v>云南草本鲜牛肉</x:v>
      </x:c>
      <x:c r="G84" s="36" t="n">
        <x:v>1</x:v>
      </x:c>
      <x:c r="H84" s="22" t="str">
        <x:v>名称一致</x:v>
      </x:c>
      <x:c r="I84" s="22" t="str">
        <x:v>待原料映射完成</x:v>
      </x:c>
      <x:c r="J84" s="22" t="str"/>
    </x:row>
    <x:row r="85">
      <x:c r="A85" s="22" t="str">
        <x:v>超A醒目胡萝卜橙</x:v>
      </x:c>
      <x:c r="B85" s="23" t="n">
        <x:v>32</x:v>
      </x:c>
      <x:c r="C85" s="23" t="n">
        <x:v>644.93</x:v>
      </x:c>
      <x:c r="D85" s="23" t="n">
        <x:v>498.1</x:v>
      </x:c>
      <x:c r="E85" s="23" t="n">
        <x:v>146.83</x:v>
      </x:c>
      <x:c r="F85" s="22" t="str">
        <x:v>超A醒目胡萝卜橙</x:v>
      </x:c>
      <x:c r="G85" s="36" t="n">
        <x:v>1</x:v>
      </x:c>
      <x:c r="H85" s="22" t="str">
        <x:v>名称一致</x:v>
      </x:c>
      <x:c r="I85" s="22" t="str">
        <x:v>待原料映射完成</x:v>
      </x:c>
      <x:c r="J85" s="22" t="str"/>
    </x:row>
    <x:row r="86">
      <x:c r="A86" s="22" t="str">
        <x:v>石屏包浆豆腐</x:v>
      </x:c>
      <x:c r="B86" s="23" t="n">
        <x:v>32</x:v>
      </x:c>
      <x:c r="C86" s="23" t="n">
        <x:v>480</x:v>
      </x:c>
      <x:c r="D86" s="23" t="n">
        <x:v>353.05</x:v>
      </x:c>
      <x:c r="E86" s="23" t="n">
        <x:v>126.95</x:v>
      </x:c>
      <x:c r="F86" s="22" t="str">
        <x:v>石屏豆腐皮</x:v>
      </x:c>
      <x:c r="G86" s="36" t="n">
        <x:v>0.7273</x:v>
      </x:c>
      <x:c r="H86" s="22" t="str">
        <x:v>可能匹配待确认</x:v>
      </x:c>
      <x:c r="I86" s="22" t="str">
        <x:v>否</x:v>
      </x:c>
      <x:c r="J86" s="22" t="str"/>
    </x:row>
    <x:row r="87">
      <x:c r="A87" s="22" t="str">
        <x:v>茉香轻乳茶</x:v>
      </x:c>
      <x:c r="B87" s="23" t="n">
        <x:v>30</x:v>
      </x:c>
      <x:c r="C87" s="23" t="n">
        <x:v>556.82</x:v>
      </x:c>
      <x:c r="D87" s="23" t="n">
        <x:v>520.28</x:v>
      </x:c>
      <x:c r="E87" s="23" t="n">
        <x:v>36.54</x:v>
      </x:c>
      <x:c r="F87" s="22" t="str">
        <x:v>香蕈</x:v>
      </x:c>
      <x:c r="G87" s="36" t="n">
        <x:v>0.2857</x:v>
      </x:c>
      <x:c r="H87" s="22" t="str">
        <x:v>未匹配</x:v>
      </x:c>
      <x:c r="I87" s="22" t="str">
        <x:v>否</x:v>
      </x:c>
      <x:c r="J87" s="22" t="str"/>
    </x:row>
    <x:row r="88">
      <x:c r="A88" s="22" t="str">
        <x:v>胡辣椒鲜牛肉</x:v>
      </x:c>
      <x:c r="B88" s="23" t="n">
        <x:v>29</x:v>
      </x:c>
      <x:c r="C88" s="23" t="n">
        <x:v>1334</x:v>
      </x:c>
      <x:c r="D88" s="23" t="n">
        <x:v>1019.64</x:v>
      </x:c>
      <x:c r="E88" s="23" t="n">
        <x:v>314.36</x:v>
      </x:c>
      <x:c r="F88" s="22" t="str">
        <x:v>胡辣椒鲜牛肉</x:v>
      </x:c>
      <x:c r="G88" s="36" t="n">
        <x:v>1</x:v>
      </x:c>
      <x:c r="H88" s="22" t="str">
        <x:v>名称一致</x:v>
      </x:c>
      <x:c r="I88" s="22" t="str">
        <x:v>待原料映射完成</x:v>
      </x:c>
      <x:c r="J88" s="22" t="str"/>
    </x:row>
    <x:row r="89">
      <x:c r="A89" s="22" t="str">
        <x:v>滇池鲜鱼花</x:v>
      </x:c>
      <x:c r="B89" s="23" t="n">
        <x:v>29</x:v>
      </x:c>
      <x:c r="C89" s="23" t="n">
        <x:v>1044</x:v>
      </x:c>
      <x:c r="D89" s="23" t="n">
        <x:v>814.9</x:v>
      </x:c>
      <x:c r="E89" s="23" t="n">
        <x:v>229.1</x:v>
      </x:c>
      <x:c r="F89" s="22" t="str">
        <x:v>云滇鲜鲍鱼</x:v>
      </x:c>
      <x:c r="G89" s="36" t="n">
        <x:v>0.6</x:v>
      </x:c>
      <x:c r="H89" s="22" t="str">
        <x:v>未匹配</x:v>
      </x:c>
      <x:c r="I89" s="22" t="str">
        <x:v>否</x:v>
      </x:c>
      <x:c r="J89" s="22" t="str"/>
    </x:row>
    <x:row r="90">
      <x:c r="A90" s="22" t="str">
        <x:v>鲜打牛肉丸（原味）</x:v>
      </x:c>
      <x:c r="B90" s="23" t="n">
        <x:v>29</x:v>
      </x:c>
      <x:c r="C90" s="23" t="n">
        <x:v>290</x:v>
      </x:c>
      <x:c r="D90" s="23" t="n">
        <x:v>57.41</x:v>
      </x:c>
      <x:c r="E90" s="23" t="n">
        <x:v>232.59</x:v>
      </x:c>
      <x:c r="F90" s="22" t="str">
        <x:v>手打牛肉丸</x:v>
      </x:c>
      <x:c r="G90" s="36" t="n">
        <x:v>0.6667</x:v>
      </x:c>
      <x:c r="H90" s="22" t="str">
        <x:v>未匹配</x:v>
      </x:c>
      <x:c r="I90" s="22" t="str">
        <x:v>否</x:v>
      </x:c>
      <x:c r="J90" s="22" t="str"/>
    </x:row>
    <x:row r="91">
      <x:c r="A91" s="22" t="str">
        <x:v>薄荷鲜牛肉</x:v>
      </x:c>
      <x:c r="B91" s="23" t="n">
        <x:v>28</x:v>
      </x:c>
      <x:c r="C91" s="23" t="n">
        <x:v>1288</x:v>
      </x:c>
      <x:c r="D91" s="23" t="n">
        <x:v>1021.75</x:v>
      </x:c>
      <x:c r="E91" s="23" t="n">
        <x:v>266.25</x:v>
      </x:c>
      <x:c r="F91" s="22" t="str">
        <x:v>薄荷鲜牛肉</x:v>
      </x:c>
      <x:c r="G91" s="36" t="n">
        <x:v>1</x:v>
      </x:c>
      <x:c r="H91" s="22" t="str">
        <x:v>名称一致</x:v>
      </x:c>
      <x:c r="I91" s="22" t="str">
        <x:v>待原料映射完成</x:v>
      </x:c>
      <x:c r="J91" s="22" t="str"/>
    </x:row>
    <x:row r="92">
      <x:c r="A92" s="22" t="str">
        <x:v>黑牛肝菌</x:v>
      </x:c>
      <x:c r="B92" s="23" t="n">
        <x:v>27</x:v>
      </x:c>
      <x:c r="C92" s="23" t="n">
        <x:v>537.3</x:v>
      </x:c>
      <x:c r="D92" s="23" t="n">
        <x:v>409.24</x:v>
      </x:c>
      <x:c r="E92" s="23" t="n">
        <x:v>128.06</x:v>
      </x:c>
      <x:c r="F92" s="22" t="str">
        <x:v>黑牛肝菌</x:v>
      </x:c>
      <x:c r="G92" s="36" t="n">
        <x:v>1</x:v>
      </x:c>
      <x:c r="H92" s="22" t="str">
        <x:v>名称一致</x:v>
      </x:c>
      <x:c r="I92" s="22" t="str">
        <x:v>待原料映射完成</x:v>
      </x:c>
      <x:c r="J92" s="22" t="str"/>
    </x:row>
    <x:row r="93">
      <x:c r="A93" s="22" t="str">
        <x:v>新平酸菜</x:v>
      </x:c>
      <x:c r="B93" s="23" t="n">
        <x:v>27</x:v>
      </x:c>
      <x:c r="C93" s="23" t="n">
        <x:v>324</x:v>
      </x:c>
      <x:c r="D93" s="23" t="n">
        <x:v>240.05</x:v>
      </x:c>
      <x:c r="E93" s="23" t="n">
        <x:v>83.95</x:v>
      </x:c>
      <x:c r="F93" s="22" t="str">
        <x:v>新平酸菜</x:v>
      </x:c>
      <x:c r="G93" s="36" t="n">
        <x:v>1</x:v>
      </x:c>
      <x:c r="H93" s="22" t="str">
        <x:v>名称一致</x:v>
      </x:c>
      <x:c r="I93" s="22" t="str">
        <x:v>待原料映射完成</x:v>
      </x:c>
      <x:c r="J93" s="22" t="str"/>
    </x:row>
    <x:row r="94">
      <x:c r="A94" s="22" t="str">
        <x:v>和牛M7·奶香雪花牛</x:v>
      </x:c>
      <x:c r="B94" s="23" t="n">
        <x:v>26</x:v>
      </x:c>
      <x:c r="C94" s="23" t="n">
        <x:v>1716</x:v>
      </x:c>
      <x:c r="D94" s="23" t="n">
        <x:v>1318.96</x:v>
      </x:c>
      <x:c r="E94" s="23" t="n">
        <x:v>397.04</x:v>
      </x:c>
      <x:c r="F94" s="22" t="str">
        <x:v>奶香雪花牛</x:v>
      </x:c>
      <x:c r="G94" s="36" t="n">
        <x:v>0.8511</x:v>
      </x:c>
      <x:c r="H94" s="22" t="str">
        <x:v>可能匹配待确认</x:v>
      </x:c>
      <x:c r="I94" s="22" t="str">
        <x:v>否</x:v>
      </x:c>
      <x:c r="J94" s="22" t="str"/>
    </x:row>
    <x:row r="95">
      <x:c r="A95" s="22" t="str">
        <x:v>满杯凤梨</x:v>
      </x:c>
      <x:c r="B95" s="23" t="n">
        <x:v>26</x:v>
      </x:c>
      <x:c r="C95" s="23" t="n">
        <x:v>572</x:v>
      </x:c>
      <x:c r="D95" s="23" t="n">
        <x:v>428.07</x:v>
      </x:c>
      <x:c r="E95" s="23" t="n">
        <x:v>143.93</x:v>
      </x:c>
      <x:c r="F95" s="22" t="str">
        <x:v>满杯凤梨</x:v>
      </x:c>
      <x:c r="G95" s="36" t="n">
        <x:v>1</x:v>
      </x:c>
      <x:c r="H95" s="22" t="str">
        <x:v>名称一致</x:v>
      </x:c>
      <x:c r="I95" s="22" t="str">
        <x:v>待原料映射完成</x:v>
      </x:c>
      <x:c r="J95" s="22" t="str"/>
    </x:row>
    <x:row r="96">
      <x:c r="A96" s="22" t="str">
        <x:v>见手青啤酒</x:v>
      </x:c>
      <x:c r="B96" s="23" t="n">
        <x:v>26</x:v>
      </x:c>
      <x:c r="C96" s="23" t="n">
        <x:v>508</x:v>
      </x:c>
      <x:c r="D96" s="23" t="n">
        <x:v>456.05</x:v>
      </x:c>
      <x:c r="E96" s="23" t="n">
        <x:v>51.95</x:v>
      </x:c>
      <x:c r="F96" s="22" t="str">
        <x:v>魔幻见手青</x:v>
      </x:c>
      <x:c r="G96" s="36" t="n">
        <x:v>0.6</x:v>
      </x:c>
      <x:c r="H96" s="22" t="str">
        <x:v>未匹配</x:v>
      </x:c>
      <x:c r="I96" s="22" t="str">
        <x:v>否</x:v>
      </x:c>
      <x:c r="J96" s="22" t="str"/>
    </x:row>
    <x:row r="97">
      <x:c r="A97" s="22" t="str">
        <x:v>鲜打一米丸子</x:v>
      </x:c>
      <x:c r="B97" s="23" t="n">
        <x:v>25</x:v>
      </x:c>
      <x:c r="C97" s="23" t="n">
        <x:v>971.88</x:v>
      </x:c>
      <x:c r="D97" s="23" t="n">
        <x:v>800.12</x:v>
      </x:c>
      <x:c r="E97" s="23" t="n">
        <x:v>171.76</x:v>
      </x:c>
      <x:c r="F97" s="22" t="str">
        <x:v>鲜花米奶酒</x:v>
      </x:c>
      <x:c r="G97" s="36" t="n">
        <x:v>0.3636</x:v>
      </x:c>
      <x:c r="H97" s="22" t="str">
        <x:v>未匹配</x:v>
      </x:c>
      <x:c r="I97" s="22" t="str">
        <x:v>否</x:v>
      </x:c>
      <x:c r="J97" s="22" t="str"/>
    </x:row>
    <x:row r="98">
      <x:c r="A98" s="22" t="str">
        <x:v>木姜子鲜牛肉</x:v>
      </x:c>
      <x:c r="B98" s="23" t="n">
        <x:v>24</x:v>
      </x:c>
      <x:c r="C98" s="23" t="n">
        <x:v>1104</x:v>
      </x:c>
      <x:c r="D98" s="23" t="n">
        <x:v>886.29</x:v>
      </x:c>
      <x:c r="E98" s="23" t="n">
        <x:v>217.71</x:v>
      </x:c>
      <x:c r="F98" s="22" t="str">
        <x:v>木姜子鲜牛肉</x:v>
      </x:c>
      <x:c r="G98" s="36" t="n">
        <x:v>1</x:v>
      </x:c>
      <x:c r="H98" s="22" t="str">
        <x:v>名称一致</x:v>
      </x:c>
      <x:c r="I98" s="22" t="str">
        <x:v>待原料映射完成</x:v>
      </x:c>
      <x:c r="J98" s="22" t="str"/>
    </x:row>
    <x:row r="99">
      <x:c r="A99" s="22" t="str">
        <x:v>鲜花米奶酒</x:v>
      </x:c>
      <x:c r="B99" s="23" t="n">
        <x:v>24</x:v>
      </x:c>
      <x:c r="C99" s="23" t="n">
        <x:v>432</x:v>
      </x:c>
      <x:c r="D99" s="23" t="n">
        <x:v>343.33</x:v>
      </x:c>
      <x:c r="E99" s="23" t="n">
        <x:v>88.67</x:v>
      </x:c>
      <x:c r="F99" s="22" t="str">
        <x:v>鲜花米奶酒</x:v>
      </x:c>
      <x:c r="G99" s="36" t="n">
        <x:v>1</x:v>
      </x:c>
      <x:c r="H99" s="22" t="str">
        <x:v>名称一致</x:v>
      </x:c>
      <x:c r="I99" s="22" t="str">
        <x:v>待原料映射完成</x:v>
      </x:c>
      <x:c r="J99" s="22" t="str"/>
    </x:row>
    <x:row r="100">
      <x:c r="A100" s="22" t="str">
        <x:v>牛油果金耳刺身</x:v>
      </x:c>
      <x:c r="B100" s="23" t="n">
        <x:v>21</x:v>
      </x:c>
      <x:c r="C100" s="23" t="n">
        <x:v>672</x:v>
      </x:c>
      <x:c r="D100" s="23" t="n">
        <x:v>514.46</x:v>
      </x:c>
      <x:c r="E100" s="23" t="n">
        <x:v>157.54</x:v>
      </x:c>
      <x:c r="F100" s="22" t="str">
        <x:v>金耳</x:v>
      </x:c>
      <x:c r="G100" s="36" t="n">
        <x:v>0.7971</x:v>
      </x:c>
      <x:c r="H100" s="22" t="str">
        <x:v>可能匹配待确认</x:v>
      </x:c>
      <x:c r="I100" s="22" t="str">
        <x:v>否</x:v>
      </x:c>
      <x:c r="J100" s="22" t="str"/>
    </x:row>
    <x:row r="101">
      <x:c r="A101" s="22" t="str">
        <x:v>海鲜炒饭</x:v>
      </x:c>
      <x:c r="B101" s="23" t="n">
        <x:v>20</x:v>
      </x:c>
      <x:c r="C101" s="23" t="n">
        <x:v>1080.3</x:v>
      </x:c>
      <x:c r="D101" s="23" t="n">
        <x:v>905.56</x:v>
      </x:c>
      <x:c r="E101" s="23" t="n">
        <x:v>174.74</x:v>
      </x:c>
      <x:c r="F101" s="22" t="str">
        <x:v>海鲜炒饭</x:v>
      </x:c>
      <x:c r="G101" s="36" t="n">
        <x:v>1</x:v>
      </x:c>
      <x:c r="H101" s="22" t="str">
        <x:v>名称一致</x:v>
      </x:c>
      <x:c r="I101" s="22" t="str">
        <x:v>待原料映射完成</x:v>
      </x:c>
      <x:c r="J101" s="22" t="str"/>
    </x:row>
    <x:row r="102">
      <x:c r="A102" s="22" t="str">
        <x:v>春日桃桃</x:v>
      </x:c>
      <x:c r="B102" s="23" t="n">
        <x:v>20</x:v>
      </x:c>
      <x:c r="C102" s="23" t="n">
        <x:v>506</x:v>
      </x:c>
      <x:c r="D102" s="23" t="n">
        <x:v>370.59</x:v>
      </x:c>
      <x:c r="E102" s="23" t="n">
        <x:v>135.41</x:v>
      </x:c>
      <x:c r="F102" s="22" t="str">
        <x:v>黑皮鸡纵</x:v>
      </x:c>
      <x:c r="G102" s="36" t="n">
        <x:v>0</x:v>
      </x:c>
      <x:c r="H102" s="22" t="str">
        <x:v>未匹配</x:v>
      </x:c>
      <x:c r="I102" s="22" t="str">
        <x:v>否</x:v>
      </x:c>
      <x:c r="J102" s="22" t="str"/>
    </x:row>
    <x:row r="103">
      <x:c r="A103" s="22" t="str">
        <x:v>维C大满足</x:v>
      </x:c>
      <x:c r="B103" s="23" t="n">
        <x:v>20</x:v>
      </x:c>
      <x:c r="C103" s="23" t="n">
        <x:v>440</x:v>
      </x:c>
      <x:c r="D103" s="23" t="n">
        <x:v>313.11</x:v>
      </x:c>
      <x:c r="E103" s="23" t="n">
        <x:v>126.89</x:v>
      </x:c>
      <x:c r="F103" s="22" t="str">
        <x:v>维C大满足</x:v>
      </x:c>
      <x:c r="G103" s="36" t="n">
        <x:v>1</x:v>
      </x:c>
      <x:c r="H103" s="22" t="str">
        <x:v>名称一致</x:v>
      </x:c>
      <x:c r="I103" s="22" t="str">
        <x:v>待原料映射完成</x:v>
      </x:c>
      <x:c r="J103" s="22" t="str"/>
    </x:row>
    <x:row r="104">
      <x:c r="A104" s="22" t="str">
        <x:v>青芒酸木瓜冰茶</x:v>
      </x:c>
      <x:c r="B104" s="23" t="n">
        <x:v>20</x:v>
      </x:c>
      <x:c r="C104" s="23" t="n">
        <x:v>399.05</x:v>
      </x:c>
      <x:c r="D104" s="23" t="n">
        <x:v>268.93</x:v>
      </x:c>
      <x:c r="E104" s="23" t="n">
        <x:v>130.12</x:v>
      </x:c>
      <x:c r="F104" s="22" t="str">
        <x:v>青芒黄皮山茶</x:v>
      </x:c>
      <x:c r="G104" s="36" t="n">
        <x:v>0.4615</x:v>
      </x:c>
      <x:c r="H104" s="22" t="str">
        <x:v>未匹配</x:v>
      </x:c>
      <x:c r="I104" s="22" t="str">
        <x:v>否</x:v>
      </x:c>
      <x:c r="J104" s="22" t="str"/>
    </x:row>
    <x:row r="105">
      <x:c r="A105" s="22" t="str">
        <x:v>赤松茸</x:v>
      </x:c>
      <x:c r="B105" s="23" t="n">
        <x:v>19</x:v>
      </x:c>
      <x:c r="C105" s="23" t="n">
        <x:v>378.1</x:v>
      </x:c>
      <x:c r="D105" s="23" t="n">
        <x:v>277.92</x:v>
      </x:c>
      <x:c r="E105" s="23" t="n">
        <x:v>100.18</x:v>
      </x:c>
      <x:c r="F105" s="22" t="str">
        <x:v>赤松茸</x:v>
      </x:c>
      <x:c r="G105" s="36" t="n">
        <x:v>1</x:v>
      </x:c>
      <x:c r="H105" s="22" t="str">
        <x:v>名称一致</x:v>
      </x:c>
      <x:c r="I105" s="22" t="str">
        <x:v>待原料映射完成</x:v>
      </x:c>
      <x:c r="J105" s="22" t="str"/>
    </x:row>
    <x:row r="106">
      <x:c r="A106" s="22" t="str">
        <x:v>云滇小八爪</x:v>
      </x:c>
      <x:c r="B106" s="23" t="n">
        <x:v>17</x:v>
      </x:c>
      <x:c r="C106" s="23" t="n">
        <x:v>816</x:v>
      </x:c>
      <x:c r="D106" s="23" t="n">
        <x:v>561.41</x:v>
      </x:c>
      <x:c r="E106" s="23" t="n">
        <x:v>254.59</x:v>
      </x:c>
      <x:c r="F106" s="22" t="str">
        <x:v>云滇小八爪</x:v>
      </x:c>
      <x:c r="G106" s="36" t="n">
        <x:v>1</x:v>
      </x:c>
      <x:c r="H106" s="22" t="str">
        <x:v>名称一致</x:v>
      </x:c>
      <x:c r="I106" s="22" t="str">
        <x:v>待原料映射完成</x:v>
      </x:c>
      <x:c r="J106" s="22" t="str"/>
    </x:row>
    <x:row r="107">
      <x:c r="A107" s="22" t="str">
        <x:v>金耳菌</x:v>
      </x:c>
      <x:c r="B107" s="23" t="n">
        <x:v>17</x:v>
      </x:c>
      <x:c r="C107" s="23" t="n">
        <x:v>508.3</x:v>
      </x:c>
      <x:c r="D107" s="23" t="n">
        <x:v>413.88</x:v>
      </x:c>
      <x:c r="E107" s="23" t="n">
        <x:v>94.42</x:v>
      </x:c>
      <x:c r="F107" s="22" t="str">
        <x:v>金耳</x:v>
      </x:c>
      <x:c r="G107" s="36" t="n">
        <x:v>0.8733</x:v>
      </x:c>
      <x:c r="H107" s="22" t="str">
        <x:v>高相似待确认</x:v>
      </x:c>
      <x:c r="I107" s="22" t="str">
        <x:v>否</x:v>
      </x:c>
      <x:c r="J107" s="22" t="str"/>
    </x:row>
    <x:row r="108">
      <x:c r="A108" s="22" t="str">
        <x:v>珊瑚菌</x:v>
      </x:c>
      <x:c r="B108" s="23" t="n">
        <x:v>17</x:v>
      </x:c>
      <x:c r="C108" s="23" t="n">
        <x:v>273.3</x:v>
      </x:c>
      <x:c r="D108" s="23" t="n">
        <x:v>213.62</x:v>
      </x:c>
      <x:c r="E108" s="23" t="n">
        <x:v>59.68</x:v>
      </x:c>
      <x:c r="F108" s="22" t="str">
        <x:v>珊瑚菌</x:v>
      </x:c>
      <x:c r="G108" s="36" t="n">
        <x:v>1</x:v>
      </x:c>
      <x:c r="H108" s="22" t="str">
        <x:v>名称一致</x:v>
      </x:c>
      <x:c r="I108" s="22" t="str">
        <x:v>待原料映射完成</x:v>
      </x:c>
      <x:c r="J108" s="22" t="str"/>
    </x:row>
    <x:row r="109">
      <x:c r="A109" s="22" t="str">
        <x:v>薄荷</x:v>
      </x:c>
      <x:c r="B109" s="23" t="n">
        <x:v>17</x:v>
      </x:c>
      <x:c r="C109" s="23" t="n">
        <x:v>204</x:v>
      </x:c>
      <x:c r="D109" s="23" t="n">
        <x:v>189.43</x:v>
      </x:c>
      <x:c r="E109" s="23" t="n">
        <x:v>14.57</x:v>
      </x:c>
      <x:c r="F109" s="22" t="str">
        <x:v>薄荷</x:v>
      </x:c>
      <x:c r="G109" s="36" t="n">
        <x:v>1</x:v>
      </x:c>
      <x:c r="H109" s="22" t="str">
        <x:v>名称一致</x:v>
      </x:c>
      <x:c r="I109" s="22" t="str">
        <x:v>待原料映射完成</x:v>
      </x:c>
      <x:c r="J109" s="22" t="str"/>
    </x:row>
    <x:row r="110">
      <x:c r="A110" s="22" t="str">
        <x:v>鲜切牛脊背肉</x:v>
      </x:c>
      <x:c r="B110" s="23" t="n">
        <x:v>16</x:v>
      </x:c>
      <x:c r="C110" s="23" t="n">
        <x:v>736</x:v>
      </x:c>
      <x:c r="D110" s="23" t="n">
        <x:v>555.54</x:v>
      </x:c>
      <x:c r="E110" s="23" t="n">
        <x:v>180.46</x:v>
      </x:c>
      <x:c r="F110" s="22" t="str">
        <x:v>鲜切牛脊背肉</x:v>
      </x:c>
      <x:c r="G110" s="36" t="n">
        <x:v>1</x:v>
      </x:c>
      <x:c r="H110" s="22" t="str">
        <x:v>名称一致</x:v>
      </x:c>
      <x:c r="I110" s="22" t="str">
        <x:v>待原料映射完成</x:v>
      </x:c>
      <x:c r="J110" s="22" t="str"/>
    </x:row>
    <x:row r="111">
      <x:c r="A111" s="22" t="str">
        <x:v>酸木瓜罗望子冰茶</x:v>
      </x:c>
      <x:c r="B111" s="23" t="n">
        <x:v>16</x:v>
      </x:c>
      <x:c r="C111" s="23" t="n">
        <x:v>345.96</x:v>
      </x:c>
      <x:c r="D111" s="23" t="n">
        <x:v>277.3</x:v>
      </x:c>
      <x:c r="E111" s="23" t="n">
        <x:v>68.66</x:v>
      </x:c>
      <x:c r="F111" s="22" t="str">
        <x:v>罗望子酸木瓜</x:v>
      </x:c>
      <x:c r="G111" s="36" t="n">
        <x:v>0.4286</x:v>
      </x:c>
      <x:c r="H111" s="22" t="str">
        <x:v>未匹配</x:v>
      </x:c>
      <x:c r="I111" s="22" t="str">
        <x:v>否</x:v>
      </x:c>
      <x:c r="J111" s="22" t="str"/>
    </x:row>
    <x:row r="112">
      <x:c r="A112" s="22" t="str">
        <x:v>舞茸菌</x:v>
      </x:c>
      <x:c r="B112" s="23" t="n">
        <x:v>16</x:v>
      </x:c>
      <x:c r="C112" s="23" t="n">
        <x:v>318.4</x:v>
      </x:c>
      <x:c r="D112" s="23" t="n">
        <x:v>239.46</x:v>
      </x:c>
      <x:c r="E112" s="23" t="n">
        <x:v>78.94</x:v>
      </x:c>
      <x:c r="F112" s="22" t="str">
        <x:v>舞茸菌</x:v>
      </x:c>
      <x:c r="G112" s="36" t="n">
        <x:v>1</x:v>
      </x:c>
      <x:c r="H112" s="22" t="str">
        <x:v>名称一致</x:v>
      </x:c>
      <x:c r="I112" s="22" t="str">
        <x:v>待原料映射完成</x:v>
      </x:c>
      <x:c r="J112" s="22" t="str"/>
    </x:row>
    <x:row r="113">
      <x:c r="A113" s="22" t="str">
        <x:v>鲜打紫苏丸子</x:v>
      </x:c>
      <x:c r="B113" s="23" t="n">
        <x:v>16</x:v>
      </x:c>
      <x:c r="C113" s="23" t="n">
        <x:v>160</x:v>
      </x:c>
      <x:c r="D113" s="23" t="n">
        <x:v>31.84</x:v>
      </x:c>
      <x:c r="E113" s="23" t="n">
        <x:v>128.16</x:v>
      </x:c>
      <x:c r="F113" s="22" t="str">
        <x:v>手打牛肉丸</x:v>
      </x:c>
      <x:c r="G113" s="36" t="n">
        <x:v>0.3636</x:v>
      </x:c>
      <x:c r="H113" s="22" t="str">
        <x:v>未匹配</x:v>
      </x:c>
      <x:c r="I113" s="22" t="str">
        <x:v>否</x:v>
      </x:c>
      <x:c r="J113" s="22" t="str"/>
    </x:row>
    <x:row r="114">
      <x:c r="A114" s="22" t="str">
        <x:v>山葵鲜牛肉</x:v>
      </x:c>
      <x:c r="B114" s="23" t="n">
        <x:v>13</x:v>
      </x:c>
      <x:c r="C114" s="23" t="n">
        <x:v>598</x:v>
      </x:c>
      <x:c r="D114" s="23" t="n">
        <x:v>421.48</x:v>
      </x:c>
      <x:c r="E114" s="23" t="n">
        <x:v>176.52</x:v>
      </x:c>
      <x:c r="F114" s="22" t="str">
        <x:v>山葵鲜牛肉</x:v>
      </x:c>
      <x:c r="G114" s="36" t="n">
        <x:v>1</x:v>
      </x:c>
      <x:c r="H114" s="22" t="str">
        <x:v>名称一致</x:v>
      </x:c>
      <x:c r="I114" s="22" t="str">
        <x:v>待原料映射完成</x:v>
      </x:c>
      <x:c r="J114" s="22" t="str"/>
    </x:row>
    <x:row r="115">
      <x:c r="A115" s="22" t="str">
        <x:v>四味珍菌拼盘</x:v>
      </x:c>
      <x:c r="B115" s="23" t="n">
        <x:v>13</x:v>
      </x:c>
      <x:c r="C115" s="23" t="n">
        <x:v>433</x:v>
      </x:c>
      <x:c r="D115" s="23" t="n">
        <x:v>339.43</x:v>
      </x:c>
      <x:c r="E115" s="23" t="n">
        <x:v>93.57</x:v>
      </x:c>
      <x:c r="F115" s="22" t="str">
        <x:v>四味珍菌拼盘</x:v>
      </x:c>
      <x:c r="G115" s="36" t="n">
        <x:v>1</x:v>
      </x:c>
      <x:c r="H115" s="22" t="str">
        <x:v>名称一致</x:v>
      </x:c>
      <x:c r="I115" s="22" t="str">
        <x:v>待原料映射完成</x:v>
      </x:c>
      <x:c r="J115" s="22" t="str"/>
    </x:row>
    <x:row r="116">
      <x:c r="A116" s="22" t="str">
        <x:v>保拉纳黑啤</x:v>
      </x:c>
      <x:c r="B116" s="23" t="n">
        <x:v>12</x:v>
      </x:c>
      <x:c r="C116" s="23" t="n">
        <x:v>386</x:v>
      </x:c>
      <x:c r="D116" s="23" t="n">
        <x:v>327.41</x:v>
      </x:c>
      <x:c r="E116" s="23" t="n">
        <x:v>58.59</x:v>
      </x:c>
      <x:c r="F116" s="22" t="str">
        <x:v>黑皮鸡纵</x:v>
      </x:c>
      <x:c r="G116" s="36" t="n">
        <x:v>0.2222</x:v>
      </x:c>
      <x:c r="H116" s="22" t="str">
        <x:v>未匹配</x:v>
      </x:c>
      <x:c r="I116" s="22" t="str">
        <x:v>否</x:v>
      </x:c>
      <x:c r="J116" s="22" t="str"/>
    </x:row>
    <x:row r="117">
      <x:c r="A117" s="22" t="str">
        <x:v>夏日桃桃</x:v>
      </x:c>
      <x:c r="B117" s="23" t="n">
        <x:v>12</x:v>
      </x:c>
      <x:c r="C117" s="23" t="n">
        <x:v>336</x:v>
      </x:c>
      <x:c r="D117" s="23" t="n">
        <x:v>242.41</x:v>
      </x:c>
      <x:c r="E117" s="23" t="n">
        <x:v>93.59</x:v>
      </x:c>
      <x:c r="F117" s="22" t="str">
        <x:v>黑皮鸡纵</x:v>
      </x:c>
      <x:c r="G117" s="36" t="n">
        <x:v>0</x:v>
      </x:c>
      <x:c r="H117" s="22" t="str">
        <x:v>未匹配</x:v>
      </x:c>
      <x:c r="I117" s="22" t="str">
        <x:v>否</x:v>
      </x:c>
      <x:c r="J117" s="22" t="str"/>
    </x:row>
    <x:row r="118">
      <x:c r="A118" s="22" t="str">
        <x:v>云滇鲜鲍鱼</x:v>
      </x:c>
      <x:c r="B118" s="23" t="n">
        <x:v>11</x:v>
      </x:c>
      <x:c r="C118" s="23" t="n">
        <x:v>528</x:v>
      </x:c>
      <x:c r="D118" s="23" t="n">
        <x:v>404.24</x:v>
      </x:c>
      <x:c r="E118" s="23" t="n">
        <x:v>123.76</x:v>
      </x:c>
      <x:c r="F118" s="22" t="str">
        <x:v>云滇鲜鲍鱼</x:v>
      </x:c>
      <x:c r="G118" s="36" t="n">
        <x:v>1</x:v>
      </x:c>
      <x:c r="H118" s="22" t="str">
        <x:v>名称一致</x:v>
      </x:c>
      <x:c r="I118" s="22" t="str">
        <x:v>待原料映射完成</x:v>
      </x:c>
      <x:c r="J118" s="22" t="str"/>
    </x:row>
    <x:row r="119">
      <x:c r="A119" s="22" t="str">
        <x:v>榆黄蘑</x:v>
      </x:c>
      <x:c r="B119" s="23" t="n">
        <x:v>11</x:v>
      </x:c>
      <x:c r="C119" s="23" t="n">
        <x:v>183.9</x:v>
      </x:c>
      <x:c r="D119" s="23" t="n">
        <x:v>143.67</x:v>
      </x:c>
      <x:c r="E119" s="23" t="n">
        <x:v>40.23</x:v>
      </x:c>
      <x:c r="F119" s="22" t="str">
        <x:v>榆黄蘑</x:v>
      </x:c>
      <x:c r="G119" s="36" t="n">
        <x:v>1</x:v>
      </x:c>
      <x:c r="H119" s="22" t="str">
        <x:v>名称一致</x:v>
      </x:c>
      <x:c r="I119" s="22" t="str">
        <x:v>待原料映射完成</x:v>
      </x:c>
      <x:c r="J119" s="22" t="str"/>
    </x:row>
    <x:row r="120">
      <x:c r="A120" s="22" t="str">
        <x:v>紫白菜</x:v>
      </x:c>
      <x:c r="B120" s="23" t="n">
        <x:v>11</x:v>
      </x:c>
      <x:c r="C120" s="23" t="n">
        <x:v>165</x:v>
      </x:c>
      <x:c r="D120" s="23" t="n">
        <x:v>108.68</x:v>
      </x:c>
      <x:c r="E120" s="23" t="n">
        <x:v>56.32</x:v>
      </x:c>
      <x:c r="F120" s="22" t="str">
        <x:v>紫白菜</x:v>
      </x:c>
      <x:c r="G120" s="36" t="n">
        <x:v>1</x:v>
      </x:c>
      <x:c r="H120" s="22" t="str">
        <x:v>名称一致</x:v>
      </x:c>
      <x:c r="I120" s="22" t="str">
        <x:v>待原料映射完成</x:v>
      </x:c>
      <x:c r="J120" s="22" t="str"/>
    </x:row>
    <x:row r="121">
      <x:c r="A121" s="22" t="str">
        <x:v>云滇鲜虾</x:v>
      </x:c>
      <x:c r="B121" s="23" t="n">
        <x:v>10</x:v>
      </x:c>
      <x:c r="C121" s="23" t="n">
        <x:v>580</x:v>
      </x:c>
      <x:c r="D121" s="23" t="n">
        <x:v>446.94</x:v>
      </x:c>
      <x:c r="E121" s="23" t="n">
        <x:v>133.06</x:v>
      </x:c>
      <x:c r="F121" s="22" t="str">
        <x:v>云滇鲜虾</x:v>
      </x:c>
      <x:c r="G121" s="36" t="n">
        <x:v>1</x:v>
      </x:c>
      <x:c r="H121" s="22" t="str">
        <x:v>名称一致</x:v>
      </x:c>
      <x:c r="I121" s="22" t="str">
        <x:v>待原料映射完成</x:v>
      </x:c>
      <x:c r="J121" s="22" t="str"/>
    </x:row>
    <x:row r="122">
      <x:c r="A122" s="22" t="str">
        <x:v>花园米布</x:v>
      </x:c>
      <x:c r="B122" s="23" t="n">
        <x:v>10</x:v>
      </x:c>
      <x:c r="C122" s="23" t="n">
        <x:v>262</x:v>
      </x:c>
      <x:c r="D122" s="23" t="n">
        <x:v>187.8</x:v>
      </x:c>
      <x:c r="E122" s="23" t="n">
        <x:v>74.2</x:v>
      </x:c>
      <x:c r="F122" s="22" t="str">
        <x:v>鲜花米奶酒</x:v>
      </x:c>
      <x:c r="G122" s="36" t="n">
        <x:v>0.4444</x:v>
      </x:c>
      <x:c r="H122" s="22" t="str">
        <x:v>未匹配</x:v>
      </x:c>
      <x:c r="I122" s="22" t="str">
        <x:v>否</x:v>
      </x:c>
      <x:c r="J122" s="22" t="str"/>
    </x:row>
    <x:row r="123">
      <x:c r="A123" s="22" t="str">
        <x:v>猪肚菌</x:v>
      </x:c>
      <x:c r="B123" s="23" t="n">
        <x:v>10</x:v>
      </x:c>
      <x:c r="C123" s="23" t="n">
        <x:v>164</x:v>
      </x:c>
      <x:c r="D123" s="23" t="n">
        <x:v>123.73</x:v>
      </x:c>
      <x:c r="E123" s="23" t="n">
        <x:v>40.27</x:v>
      </x:c>
      <x:c r="F123" s="22" t="str">
        <x:v>猪肚菌</x:v>
      </x:c>
      <x:c r="G123" s="36" t="n">
        <x:v>1</x:v>
      </x:c>
      <x:c r="H123" s="22" t="str">
        <x:v>名称一致</x:v>
      </x:c>
      <x:c r="I123" s="22" t="str">
        <x:v>待原料映射完成</x:v>
      </x:c>
      <x:c r="J123" s="22" t="str"/>
    </x:row>
    <x:row r="124">
      <x:c r="A124" s="22" t="str">
        <x:v>干巴菌炒饭</x:v>
      </x:c>
      <x:c r="B124" s="23" t="n">
        <x:v>9</x:v>
      </x:c>
      <x:c r="C124" s="23" t="n">
        <x:v>612</x:v>
      </x:c>
      <x:c r="D124" s="23" t="n">
        <x:v>492.21</x:v>
      </x:c>
      <x:c r="E124" s="23" t="n">
        <x:v>119.79</x:v>
      </x:c>
      <x:c r="F124" s="22" t="str">
        <x:v>干巴菌炒饭</x:v>
      </x:c>
      <x:c r="G124" s="36" t="n">
        <x:v>1</x:v>
      </x:c>
      <x:c r="H124" s="22" t="str">
        <x:v>名称一致</x:v>
      </x:c>
      <x:c r="I124" s="22" t="str">
        <x:v>待原料映射完成</x:v>
      </x:c>
      <x:c r="J124" s="22" t="str"/>
    </x:row>
    <x:row r="125">
      <x:c r="A125" s="22" t="str">
        <x:v>羊肚菌</x:v>
      </x:c>
      <x:c r="B125" s="23" t="n">
        <x:v>9</x:v>
      </x:c>
      <x:c r="C125" s="23" t="n">
        <x:v>269.1</x:v>
      </x:c>
      <x:c r="D125" s="23" t="n">
        <x:v>175.66</x:v>
      </x:c>
      <x:c r="E125" s="23" t="n">
        <x:v>93.44</x:v>
      </x:c>
      <x:c r="F125" s="22" t="str">
        <x:v>羊肚菌</x:v>
      </x:c>
      <x:c r="G125" s="36" t="n">
        <x:v>1</x:v>
      </x:c>
      <x:c r="H125" s="22" t="str">
        <x:v>名称一致</x:v>
      </x:c>
      <x:c r="I125" s="22" t="str">
        <x:v>待原料映射完成</x:v>
      </x:c>
      <x:c r="J125" s="22" t="str"/>
    </x:row>
    <x:row r="126">
      <x:c r="A126" s="22" t="str">
        <x:v>伯牙绝弦</x:v>
      </x:c>
      <x:c r="B126" s="23" t="n">
        <x:v>9</x:v>
      </x:c>
      <x:c r="C126" s="23" t="n">
        <x:v>198</x:v>
      </x:c>
      <x:c r="D126" s="23" t="n">
        <x:v>88</x:v>
      </x:c>
      <x:c r="E126" s="23" t="n">
        <x:v>110</x:v>
      </x:c>
      <x:c r="F126" s="22" t="str">
        <x:v>黑皮鸡纵</x:v>
      </x:c>
      <x:c r="G126" s="36" t="n">
        <x:v>0</x:v>
      </x:c>
      <x:c r="H126" s="22" t="str">
        <x:v>未匹配</x:v>
      </x:c>
      <x:c r="I126" s="22" t="str">
        <x:v>否</x:v>
      </x:c>
      <x:c r="J126" s="22" t="str"/>
    </x:row>
    <x:row r="127">
      <x:c r="A127" s="22" t="str">
        <x:v>九珍山海粥锅·武定跑山鸡</x:v>
      </x:c>
      <x:c r="B127" s="23" t="n">
        <x:v>8</x:v>
      </x:c>
      <x:c r="C127" s="23" t="n">
        <x:v>1981.3</x:v>
      </x:c>
      <x:c r="D127" s="23" t="n">
        <x:v>1645.27</x:v>
      </x:c>
      <x:c r="E127" s="23" t="n">
        <x:v>336.03</x:v>
      </x:c>
      <x:c r="F127" s="22" t="str">
        <x:v>八鲜山菌·武定跑山鸡汤锅</x:v>
      </x:c>
      <x:c r="G127" s="36" t="n">
        <x:v>0.5455</x:v>
      </x:c>
      <x:c r="H127" s="22" t="str">
        <x:v>未匹配</x:v>
      </x:c>
      <x:c r="I127" s="22" t="str">
        <x:v>否</x:v>
      </x:c>
      <x:c r="J127" s="22" t="str"/>
    </x:row>
    <x:row r="128">
      <x:c r="A128" s="22" t="str">
        <x:v>保拉纳白啤</x:v>
      </x:c>
      <x:c r="B128" s="23" t="n">
        <x:v>8</x:v>
      </x:c>
      <x:c r="C128" s="23" t="n">
        <x:v>234</x:v>
      </x:c>
      <x:c r="D128" s="23" t="n">
        <x:v>198.44</x:v>
      </x:c>
      <x:c r="E128" s="23" t="n">
        <x:v>35.56</x:v>
      </x:c>
      <x:c r="F128" s="22" t="str">
        <x:v>紫白菜</x:v>
      </x:c>
      <x:c r="G128" s="36" t="n">
        <x:v>0.25</x:v>
      </x:c>
      <x:c r="H128" s="22" t="str">
        <x:v>未匹配</x:v>
      </x:c>
      <x:c r="I128" s="22" t="str">
        <x:v>否</x:v>
      </x:c>
      <x:c r="J128" s="22" t="str"/>
    </x:row>
    <x:row r="129">
      <x:c r="A129" s="22" t="str">
        <x:v>鹿茸菌</x:v>
      </x:c>
      <x:c r="B129" s="23" t="n">
        <x:v>8</x:v>
      </x:c>
      <x:c r="C129" s="23" t="n">
        <x:v>129.2</x:v>
      </x:c>
      <x:c r="D129" s="23" t="n">
        <x:v>97.03</x:v>
      </x:c>
      <x:c r="E129" s="23" t="n">
        <x:v>32.17</x:v>
      </x:c>
      <x:c r="F129" s="22" t="str">
        <x:v>鹿茸菇</x:v>
      </x:c>
      <x:c r="G129" s="36" t="n">
        <x:v>0.6667</x:v>
      </x:c>
      <x:c r="H129" s="22" t="str">
        <x:v>未匹配</x:v>
      </x:c>
      <x:c r="I129" s="22" t="str">
        <x:v>否</x:v>
      </x:c>
      <x:c r="J129" s="22" t="str"/>
    </x:row>
    <x:row r="130">
      <x:c r="A130" s="22" t="str">
        <x:v>十界珍菌拼盘</x:v>
      </x:c>
      <x:c r="B130" s="23" t="n">
        <x:v>6</x:v>
      </x:c>
      <x:c r="C130" s="23" t="n">
        <x:v>738</x:v>
      </x:c>
      <x:c r="D130" s="23" t="n">
        <x:v>417.9</x:v>
      </x:c>
      <x:c r="E130" s="23" t="n">
        <x:v>320.1</x:v>
      </x:c>
      <x:c r="F130" s="22" t="str">
        <x:v>十界珍菌拼盘</x:v>
      </x:c>
      <x:c r="G130" s="36" t="n">
        <x:v>1</x:v>
      </x:c>
      <x:c r="H130" s="22" t="str">
        <x:v>名称一致</x:v>
      </x:c>
      <x:c r="I130" s="22" t="str">
        <x:v>待原料映射完成</x:v>
      </x:c>
      <x:c r="J130" s="22" t="str"/>
    </x:row>
    <x:row r="131">
      <x:c r="A131" s="22" t="str">
        <x:v>寻味黄牛干巴</x:v>
      </x:c>
      <x:c r="B131" s="23" t="n">
        <x:v>6</x:v>
      </x:c>
      <x:c r="C131" s="23" t="n">
        <x:v>330</x:v>
      </x:c>
      <x:c r="D131" s="23" t="n">
        <x:v>204.84</x:v>
      </x:c>
      <x:c r="E131" s="23" t="n">
        <x:v>125.16</x:v>
      </x:c>
      <x:c r="F131" s="22" t="str">
        <x:v>寻味黄牛干巴</x:v>
      </x:c>
      <x:c r="G131" s="36" t="n">
        <x:v>1</x:v>
      </x:c>
      <x:c r="H131" s="22" t="str">
        <x:v>名称一致</x:v>
      </x:c>
      <x:c r="I131" s="22" t="str">
        <x:v>待原料映射完成</x:v>
      </x:c>
      <x:c r="J131" s="22" t="str"/>
    </x:row>
    <x:row r="132">
      <x:c r="A132" s="22" t="str">
        <x:v>乌苏1L罐装</x:v>
      </x:c>
      <x:c r="B132" s="23" t="n">
        <x:v>6</x:v>
      </x:c>
      <x:c r="C132" s="23" t="n">
        <x:v>156</x:v>
      </x:c>
      <x:c r="D132" s="23" t="n">
        <x:v>133.62</x:v>
      </x:c>
      <x:c r="E132" s="23" t="n">
        <x:v>22.38</x:v>
      </x:c>
      <x:c r="F132" s="22" t="str">
        <x:v>罐罐鲜花奶茶</x:v>
      </x:c>
      <x:c r="G132" s="36" t="n">
        <x:v>0.1667</x:v>
      </x:c>
      <x:c r="H132" s="22" t="str">
        <x:v>未匹配</x:v>
      </x:c>
      <x:c r="I132" s="22" t="str">
        <x:v>否</x:v>
      </x:c>
      <x:c r="J132" s="22" t="str"/>
    </x:row>
    <x:row r="133">
      <x:c r="A133" s="22" t="str">
        <x:v>白里透红</x:v>
      </x:c>
      <x:c r="B133" s="23" t="n">
        <x:v>6</x:v>
      </x:c>
      <x:c r="C133" s="23" t="n">
        <x:v>132</x:v>
      </x:c>
      <x:c r="D133" s="23" t="n">
        <x:v>109.21</x:v>
      </x:c>
      <x:c r="E133" s="23" t="n">
        <x:v>22.79</x:v>
      </x:c>
      <x:c r="F133" s="22" t="str">
        <x:v>白里透红</x:v>
      </x:c>
      <x:c r="G133" s="36" t="n">
        <x:v>1</x:v>
      </x:c>
      <x:c r="H133" s="22" t="str">
        <x:v>名称一致</x:v>
      </x:c>
      <x:c r="I133" s="22" t="str">
        <x:v>待原料映射完成</x:v>
      </x:c>
      <x:c r="J133" s="22" t="str"/>
    </x:row>
    <x:row r="134">
      <x:c r="A134" s="22" t="str">
        <x:v>炸黄粉皮</x:v>
      </x:c>
      <x:c r="B134" s="23" t="n">
        <x:v>6</x:v>
      </x:c>
      <x:c r="C134" s="23" t="n">
        <x:v>108</x:v>
      </x:c>
      <x:c r="D134" s="23" t="n">
        <x:v>28.26</x:v>
      </x:c>
      <x:c r="E134" s="23" t="n">
        <x:v>79.74</x:v>
      </x:c>
      <x:c r="F134" s="22" t="str">
        <x:v>香酥黄粉皮</x:v>
      </x:c>
      <x:c r="G134" s="36" t="n">
        <x:v>0.6667</x:v>
      </x:c>
      <x:c r="H134" s="22" t="str">
        <x:v>未匹配</x:v>
      </x:c>
      <x:c r="I134" s="22" t="str">
        <x:v>否</x:v>
      </x:c>
      <x:c r="J134" s="22" t="str"/>
    </x:row>
    <x:row r="135">
      <x:c r="A135" s="22" t="str">
        <x:v>滑子菇</x:v>
      </x:c>
      <x:c r="B135" s="23" t="n">
        <x:v>6</x:v>
      </x:c>
      <x:c r="C135" s="23" t="n">
        <x:v>99.4</x:v>
      </x:c>
      <x:c r="D135" s="23" t="n">
        <x:v>66.95</x:v>
      </x:c>
      <x:c r="E135" s="23" t="n">
        <x:v>32.45</x:v>
      </x:c>
      <x:c r="F135" s="22" t="str">
        <x:v>滑子菇</x:v>
      </x:c>
      <x:c r="G135" s="36" t="n">
        <x:v>1</x:v>
      </x:c>
      <x:c r="H135" s="22" t="str">
        <x:v>名称一致</x:v>
      </x:c>
      <x:c r="I135" s="22" t="str">
        <x:v>待原料映射完成</x:v>
      </x:c>
      <x:c r="J135" s="22" t="str"/>
    </x:row>
    <x:row r="136">
      <x:c r="A136" s="22" t="str">
        <x:v>鲜打薄荷丸子</x:v>
      </x:c>
      <x:c r="B136" s="23" t="n">
        <x:v>6</x:v>
      </x:c>
      <x:c r="C136" s="23" t="n">
        <x:v>60</x:v>
      </x:c>
      <x:c r="D136" s="23" t="n">
        <x:v>11.74</x:v>
      </x:c>
      <x:c r="E136" s="23" t="n">
        <x:v>48.26</x:v>
      </x:c>
      <x:c r="F136" s="22" t="str">
        <x:v>薄荷</x:v>
      </x:c>
      <x:c r="G136" s="36" t="n">
        <x:v>0.8067</x:v>
      </x:c>
      <x:c r="H136" s="22" t="str">
        <x:v>可能匹配待确认</x:v>
      </x:c>
      <x:c r="I136" s="22" t="str">
        <x:v>否</x:v>
      </x:c>
      <x:c r="J136" s="22" t="str"/>
    </x:row>
    <x:row r="137">
      <x:c r="A137" s="22" t="str">
        <x:v>和牛 M2·大地飞雪</x:v>
      </x:c>
      <x:c r="B137" s="23" t="n">
        <x:v>5</x:v>
      </x:c>
      <x:c r="C137" s="23" t="n">
        <x:v>222.26</x:v>
      </x:c>
      <x:c r="D137" s="23" t="n">
        <x:v>169.09</x:v>
      </x:c>
      <x:c r="E137" s="23" t="n">
        <x:v>53.17</x:v>
      </x:c>
      <x:c r="F137" s="22" t="str">
        <x:v>和牛M5·大地飞雪</x:v>
      </x:c>
      <x:c r="G137" s="36" t="n">
        <x:v>0.875</x:v>
      </x:c>
      <x:c r="H137" s="22" t="str">
        <x:v>高相似待确认</x:v>
      </x:c>
      <x:c r="I137" s="22" t="str">
        <x:v>否</x:v>
      </x:c>
      <x:c r="J137" s="22" t="str"/>
    </x:row>
    <x:row r="138">
      <x:c r="A138" s="22" t="str">
        <x:v>虎掌菌</x:v>
      </x:c>
      <x:c r="B138" s="23" t="n">
        <x:v>5</x:v>
      </x:c>
      <x:c r="C138" s="23" t="n">
        <x:v>99.5</x:v>
      </x:c>
      <x:c r="D138" s="23" t="n">
        <x:v>74.97</x:v>
      </x:c>
      <x:c r="E138" s="23" t="n">
        <x:v>24.53</x:v>
      </x:c>
      <x:c r="F138" s="22" t="str">
        <x:v>舞茸菌</x:v>
      </x:c>
      <x:c r="G138" s="36" t="n">
        <x:v>0.3333</x:v>
      </x:c>
      <x:c r="H138" s="22" t="str">
        <x:v>未匹配</x:v>
      </x:c>
      <x:c r="I138" s="22" t="str">
        <x:v>否</x:v>
      </x:c>
      <x:c r="J138" s="22" t="str"/>
    </x:row>
    <x:row r="139">
      <x:c r="A139" s="22" t="str">
        <x:v>蜜薯焦糖布蕾</x:v>
      </x:c>
      <x:c r="B139" s="23" t="n">
        <x:v>4</x:v>
      </x:c>
      <x:c r="C139" s="23" t="n">
        <x:v>112</x:v>
      </x:c>
      <x:c r="D139" s="23" t="n">
        <x:v>58.54</x:v>
      </x:c>
      <x:c r="E139" s="23" t="n">
        <x:v>53.46</x:v>
      </x:c>
      <x:c r="F139" s="22" t="str">
        <x:v>蜜薯焦糖布蕾</x:v>
      </x:c>
      <x:c r="G139" s="36" t="n">
        <x:v>1</x:v>
      </x:c>
      <x:c r="H139" s="22" t="str">
        <x:v>名称一致</x:v>
      </x:c>
      <x:c r="I139" s="22" t="str">
        <x:v>待原料映射完成</x:v>
      </x:c>
      <x:c r="J139" s="22" t="str"/>
    </x:row>
    <x:row r="140">
      <x:c r="A140" s="22" t="str">
        <x:v>富源酸萝卜丝</x:v>
      </x:c>
      <x:c r="B140" s="23" t="n">
        <x:v>4</x:v>
      </x:c>
      <x:c r="C140" s="23" t="n">
        <x:v>48</x:v>
      </x:c>
      <x:c r="D140" s="23" t="n">
        <x:v>29.43</x:v>
      </x:c>
      <x:c r="E140" s="23" t="n">
        <x:v>18.57</x:v>
      </x:c>
      <x:c r="F140" s="22" t="str">
        <x:v>超A醒目胡萝卜橙</x:v>
      </x:c>
      <x:c r="G140" s="36" t="n">
        <x:v>0.2857</x:v>
      </x:c>
      <x:c r="H140" s="22" t="str">
        <x:v>未匹配</x:v>
      </x:c>
      <x:c r="I140" s="22" t="str">
        <x:v>否</x:v>
      </x:c>
      <x:c r="J140" s="22" t="str"/>
    </x:row>
    <x:row r="141">
      <x:c r="A141" s="22" t="str">
        <x:v>补差价10元</x:v>
      </x:c>
      <x:c r="B141" s="23" t="n">
        <x:v>4</x:v>
      </x:c>
      <x:c r="C141" s="23" t="n">
        <x:v>40</x:v>
      </x:c>
      <x:c r="D141" s="23" t="n">
        <x:v>34.39</x:v>
      </x:c>
      <x:c r="E141" s="23" t="n">
        <x:v>5.61</x:v>
      </x:c>
      <x:c r="F141" s="22" t="str">
        <x:v>元阳哈尼米线</x:v>
      </x:c>
      <x:c r="G141" s="36" t="n">
        <x:v>0.1667</x:v>
      </x:c>
      <x:c r="H141" s="22" t="str">
        <x:v>未匹配</x:v>
      </x:c>
      <x:c r="I141" s="22" t="str">
        <x:v>否</x:v>
      </x:c>
      <x:c r="J141" s="22" t="str"/>
    </x:row>
    <x:row r="142">
      <x:c r="A142" s="22" t="str">
        <x:v>补差价</x:v>
      </x:c>
      <x:c r="B142" s="23" t="n">
        <x:v>4</x:v>
      </x:c>
      <x:c r="C142" s="23" t="n">
        <x:v>4</x:v>
      </x:c>
      <x:c r="D142" s="23" t="n">
        <x:v>2.87</x:v>
      </x:c>
      <x:c r="E142" s="23" t="n">
        <x:v>1.13</x:v>
      </x:c>
      <x:c r="F142" s="22" t="str">
        <x:v>黑皮鸡纵</x:v>
      </x:c>
      <x:c r="G142" s="36" t="n">
        <x:v>0</x:v>
      </x:c>
      <x:c r="H142" s="22" t="str">
        <x:v>未匹配</x:v>
      </x:c>
      <x:c r="I142" s="22" t="str">
        <x:v>否</x:v>
      </x:c>
      <x:c r="J142" s="22" t="str"/>
    </x:row>
    <x:row r="143">
      <x:c r="A143" s="22" t="str">
        <x:v>【赠菜】长寿面</x:v>
      </x:c>
      <x:c r="B143" s="23" t="n">
        <x:v>4</x:v>
      </x:c>
      <x:c r="C143" s="23" t="n">
        <x:v>0</x:v>
      </x:c>
      <x:c r="D143" s="23" t="n">
        <x:v>0</x:v>
      </x:c>
      <x:c r="E143" s="23" t="n">
        <x:v>0</x:v>
      </x:c>
      <x:c r="F143" s="22" t="str">
        <x:v>豌豆苗/长寿菜</x:v>
      </x:c>
      <x:c r="G143" s="36" t="n">
        <x:v>0.3636</x:v>
      </x:c>
      <x:c r="H143" s="22" t="str">
        <x:v>未匹配</x:v>
      </x:c>
      <x:c r="I143" s="22" t="str">
        <x:v>否</x:v>
      </x:c>
      <x:c r="J143" s="22" t="str"/>
    </x:row>
    <x:row r="144">
      <x:c r="A144" s="22" t="str">
        <x:v>云滇一品虾</x:v>
      </x:c>
      <x:c r="B144" s="23" t="n">
        <x:v>3</x:v>
      </x:c>
      <x:c r="C144" s="23" t="n">
        <x:v>174</x:v>
      </x:c>
      <x:c r="D144" s="23" t="n">
        <x:v>135</x:v>
      </x:c>
      <x:c r="E144" s="23" t="n">
        <x:v>39</x:v>
      </x:c>
      <x:c r="F144" s="22" t="str">
        <x:v>云滇鲜虾</x:v>
      </x:c>
      <x:c r="G144" s="36" t="n">
        <x:v>0.6667</x:v>
      </x:c>
      <x:c r="H144" s="22" t="str">
        <x:v>未匹配</x:v>
      </x:c>
      <x:c r="I144" s="22" t="str">
        <x:v>否</x:v>
      </x:c>
      <x:c r="J144" s="22" t="str"/>
    </x:row>
    <x:row r="145">
      <x:c r="A145" s="22" t="str">
        <x:v>香蕈</x:v>
      </x:c>
      <x:c r="B145" s="23" t="n">
        <x:v>3</x:v>
      </x:c>
      <x:c r="C145" s="23" t="n">
        <x:v>89.7</x:v>
      </x:c>
      <x:c r="D145" s="23" t="n">
        <x:v>74.26</x:v>
      </x:c>
      <x:c r="E145" s="23" t="n">
        <x:v>15.44</x:v>
      </x:c>
      <x:c r="F145" s="22" t="str">
        <x:v>香蕈</x:v>
      </x:c>
      <x:c r="G145" s="36" t="n">
        <x:v>1</x:v>
      </x:c>
      <x:c r="H145" s="22" t="str">
        <x:v>名称一致</x:v>
      </x:c>
      <x:c r="I145" s="22" t="str">
        <x:v>待原料映射完成</x:v>
      </x:c>
      <x:c r="J145" s="22" t="str"/>
    </x:row>
    <x:row r="146">
      <x:c r="A146" s="22" t="str">
        <x:v>露水鸡枞</x:v>
      </x:c>
      <x:c r="B146" s="23" t="n">
        <x:v>3</x:v>
      </x:c>
      <x:c r="C146" s="23" t="n">
        <x:v>89.7</x:v>
      </x:c>
      <x:c r="D146" s="23" t="n">
        <x:v>60.52</x:v>
      </x:c>
      <x:c r="E146" s="23" t="n">
        <x:v>29.18</x:v>
      </x:c>
      <x:c r="F146" s="22" t="str">
        <x:v>黑皮鸡纵</x:v>
      </x:c>
      <x:c r="G146" s="36" t="n">
        <x:v>0.5</x:v>
      </x:c>
      <x:c r="H146" s="22" t="str">
        <x:v>未匹配</x:v>
      </x:c>
      <x:c r="I146" s="22" t="str">
        <x:v>否</x:v>
      </x:c>
      <x:c r="J146" s="22" t="str"/>
    </x:row>
    <x:row r="147">
      <x:c r="A147" s="22" t="str">
        <x:v>白熊啤酒</x:v>
      </x:c>
      <x:c r="B147" s="23" t="n">
        <x:v>3</x:v>
      </x:c>
      <x:c r="C147" s="23" t="n">
        <x:v>78</x:v>
      </x:c>
      <x:c r="D147" s="23" t="n">
        <x:v>69.59</x:v>
      </x:c>
      <x:c r="E147" s="23" t="n">
        <x:v>8.41</x:v>
      </x:c>
      <x:c r="F147" s="22" t="str">
        <x:v>紫白菜</x:v>
      </x:c>
      <x:c r="G147" s="36" t="n">
        <x:v>0.2857</x:v>
      </x:c>
      <x:c r="H147" s="22" t="str">
        <x:v>未匹配</x:v>
      </x:c>
      <x:c r="I147" s="22" t="str">
        <x:v>否</x:v>
      </x:c>
      <x:c r="J147" s="22" t="str"/>
    </x:row>
    <x:row r="148">
      <x:c r="A148" s="22" t="str">
        <x:v>【云南鲜菌季】八鲜山菌·武定跑山鸡汤锅</x:v>
      </x:c>
      <x:c r="B148" s="23" t="n">
        <x:v>2</x:v>
      </x:c>
      <x:c r="C148" s="23" t="n">
        <x:v>478</x:v>
      </x:c>
      <x:c r="D148" s="23" t="n">
        <x:v>403.32</x:v>
      </x:c>
      <x:c r="E148" s="23" t="n">
        <x:v>74.68</x:v>
      </x:c>
      <x:c r="F148" s="22" t="str">
        <x:v>八鲜山菌·武定跑山鸡汤锅</x:v>
      </x:c>
      <x:c r="G148" s="36" t="n">
        <x:v>0.8775</x:v>
      </x:c>
      <x:c r="H148" s="22" t="str">
        <x:v>高相似待确认</x:v>
      </x:c>
      <x:c r="I148" s="22" t="str">
        <x:v>否</x:v>
      </x:c>
      <x:c r="J148" s="22" t="str"/>
    </x:row>
    <x:row r="149">
      <x:c r="A149" s="22" t="str">
        <x:v>海味四重奏</x:v>
      </x:c>
      <x:c r="B149" s="23" t="n">
        <x:v>2</x:v>
      </x:c>
      <x:c r="C149" s="23" t="n">
        <x:v>316</x:v>
      </x:c>
      <x:c r="D149" s="23" t="n">
        <x:v>81.25</x:v>
      </x:c>
      <x:c r="E149" s="23" t="n">
        <x:v>234.75</x:v>
      </x:c>
      <x:c r="F149" s="22" t="str">
        <x:v>海味四重奏</x:v>
      </x:c>
      <x:c r="G149" s="36" t="n">
        <x:v>1</x:v>
      </x:c>
      <x:c r="H149" s="22" t="str">
        <x:v>名称一致</x:v>
      </x:c>
      <x:c r="I149" s="22" t="str">
        <x:v>待原料映射完成</x:v>
      </x:c>
      <x:c r="J149" s="22" t="str"/>
    </x:row>
    <x:row r="150">
      <x:c r="A150" s="24" t="str">
        <x:v>黄乌苏</x:v>
      </x:c>
      <x:c r="B150" s="38" t="n">
        <x:v>1</x:v>
      </x:c>
      <x:c r="C150" s="38" t="n">
        <x:v>10</x:v>
      </x:c>
      <x:c r="D150" s="38" t="n">
        <x:v>10</x:v>
      </x:c>
      <x:c r="E150" s="38" t="n">
        <x:v>0</x:v>
      </x:c>
      <x:c r="F150" s="24" t="str">
        <x:v>榆黄蘑</x:v>
      </x:c>
      <x:c r="G150" s="37" t="n">
        <x:v>0.3333</x:v>
      </x:c>
      <x:c r="H150" s="24" t="str">
        <x:v>未匹配</x:v>
      </x:c>
      <x:c r="I150" s="24" t="str">
        <x:v>否</x:v>
      </x:c>
      <x:c r="J150" s="24" t="str"/>
    </x:row>
  </x:sheetData>
  <x:pageMargins left="0.7" right="0.7" top="0.75" bottom="0.75" header="0.3" footer="0.3"/>
  <x:tableParts count="1">
    <x:tablePart xmlns:r="http://schemas.openxmlformats.org/officeDocument/2006/relationships" r:id="R8a8a51bbe68846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1" hidden="0" customWidth="1"/>
    <x:col min="5" max="5" width="18" hidden="0" customWidth="1"/>
    <x:col min="6" max="6" width="34" hidden="0" customWidth="1"/>
  </x:cols>
  <x:sheetData>
    <x:row r="1">
      <x:c r="A1" s="13" t="str">
        <x:v>映射类型</x:v>
      </x:c>
      <x:c r="B1" s="28" t="str">
        <x:v>来源名称</x:v>
      </x:c>
      <x:c r="C1" s="28" t="str">
        <x:v>候选名称</x:v>
      </x:c>
      <x:c r="D1" s="28" t="str">
        <x:v>相似度</x:v>
      </x:c>
      <x:c r="E1" s="28" t="str">
        <x:v>状态</x:v>
      </x:c>
      <x:c r="F1" s="14" t="str">
        <x:v>确认要点</x:v>
      </x:c>
    </x:row>
    <x:row r="2">
      <x:c r="A2" s="22" t="str">
        <x:v>盘点品项→BOM原料</x:v>
      </x:c>
      <x:c r="B2" s="22" t="str">
        <x:v>美味牛肝菌（鲜菌）</x:v>
      </x:c>
      <x:c r="C2" s="22" t="str">
        <x:v>牛肝菌</x:v>
      </x:c>
      <x:c r="D2" s="36" t="n">
        <x:v>0.8257</x:v>
      </x:c>
      <x:c r="E2" s="22" t="str">
        <x:v>可能匹配待确认</x:v>
      </x:c>
      <x:c r="F2" s="22" t="str">
        <x:v>鲜/冻、规格和单位必须复核</x:v>
      </x:c>
    </x:row>
    <x:row r="3">
      <x:c r="A3" s="22" t="str">
        <x:v>盘点品项→BOM原料</x:v>
      </x:c>
      <x:c r="B3" s="22" t="str">
        <x:v>黄牛肝菌（鲜菌）</x:v>
      </x:c>
      <x:c r="C3" s="22" t="str">
        <x:v>牛肝菌</x:v>
      </x:c>
      <x:c r="D3" s="36" t="n">
        <x:v>0.84</x:v>
      </x:c>
      <x:c r="E3" s="22" t="str">
        <x:v>可能匹配待确认</x:v>
      </x:c>
      <x:c r="F3" s="22" t="str">
        <x:v>鲜/冻、规格和单位必须复核</x:v>
      </x:c>
    </x:row>
    <x:row r="4">
      <x:c r="A4" s="22" t="str">
        <x:v>盘点品项→BOM原料</x:v>
      </x:c>
      <x:c r="B4" s="22" t="str">
        <x:v>人工见手青</x:v>
      </x:c>
      <x:c r="C4" s="22" t="str">
        <x:v>见手青</x:v>
      </x:c>
      <x:c r="D4" s="36" t="n">
        <x:v>0.86</x:v>
      </x:c>
      <x:c r="E4" s="22" t="str">
        <x:v>高相似待确认</x:v>
      </x:c>
      <x:c r="F4" s="22" t="str">
        <x:v>鲜/冻、规格和单位必须复核</x:v>
      </x:c>
    </x:row>
    <x:row r="5">
      <x:c r="A5" s="22" t="str">
        <x:v>盘点品项→BOM原料</x:v>
      </x:c>
      <x:c r="B5" s="22" t="str">
        <x:v>羊肚</x:v>
      </x:c>
      <x:c r="C5" s="22" t="str">
        <x:v>羊肚菌</x:v>
      </x:c>
      <x:c r="D5" s="36" t="n">
        <x:v>0.8733</x:v>
      </x:c>
      <x:c r="E5" s="22" t="str">
        <x:v>高相似待确认</x:v>
      </x:c>
      <x:c r="F5" s="22" t="str">
        <x:v>鲜/冻、规格和单位必须复核</x:v>
      </x:c>
    </x:row>
    <x:row r="6">
      <x:c r="A6" s="22" t="str">
        <x:v>盘点品项→BOM原料</x:v>
      </x:c>
      <x:c r="B6" s="22" t="str">
        <x:v>桶装盐渍红乳牛肝菌</x:v>
      </x:c>
      <x:c r="C6" s="22" t="str">
        <x:v>红乳牛肝菌</x:v>
      </x:c>
      <x:c r="D6" s="36" t="n">
        <x:v>0.8511</x:v>
      </x:c>
      <x:c r="E6" s="22" t="str">
        <x:v>可能匹配待确认</x:v>
      </x:c>
      <x:c r="F6" s="22" t="str">
        <x:v>鲜/冻、规格和单位必须复核</x:v>
      </x:c>
    </x:row>
    <x:row r="7">
      <x:c r="A7" s="22" t="str">
        <x:v>盘点品项→BOM原料</x:v>
      </x:c>
      <x:c r="B7" s="22" t="str">
        <x:v>龙爪菇</x:v>
      </x:c>
      <x:c r="C7" s="22" t="str">
        <x:v>龙爪</x:v>
      </x:c>
      <x:c r="D7" s="36" t="n">
        <x:v>0.8733</x:v>
      </x:c>
      <x:c r="E7" s="22" t="str">
        <x:v>高相似待确认</x:v>
      </x:c>
      <x:c r="F7" s="22" t="str">
        <x:v>鲜/冻、规格和单位必须复核</x:v>
      </x:c>
    </x:row>
    <x:row r="8">
      <x:c r="A8" s="22" t="str">
        <x:v>盘点品项→BOM原料</x:v>
      </x:c>
      <x:c r="B8" s="22" t="str">
        <x:v>舞茸菇</x:v>
      </x:c>
      <x:c r="C8" s="22" t="str">
        <x:v>舞茸</x:v>
      </x:c>
      <x:c r="D8" s="36" t="n">
        <x:v>0.8733</x:v>
      </x:c>
      <x:c r="E8" s="22" t="str">
        <x:v>高相似待确认</x:v>
      </x:c>
      <x:c r="F8" s="22" t="str">
        <x:v>鲜/冻、规格和单位必须复核</x:v>
      </x:c>
    </x:row>
    <x:row r="9">
      <x:c r="A9" s="22" t="str">
        <x:v>盘点品项→BOM原料</x:v>
      </x:c>
      <x:c r="B9" s="22" t="str">
        <x:v>金耳菌</x:v>
      </x:c>
      <x:c r="C9" s="22" t="str">
        <x:v>金耳</x:v>
      </x:c>
      <x:c r="D9" s="36" t="n">
        <x:v>0.8733</x:v>
      </x:c>
      <x:c r="E9" s="22" t="str">
        <x:v>高相似待确认</x:v>
      </x:c>
      <x:c r="F9" s="22" t="str">
        <x:v>鲜/冻、规格和单位必须复核</x:v>
      </x:c>
    </x:row>
    <x:row r="10">
      <x:c r="A10" s="22" t="str">
        <x:v>盘点品项→BOM原料</x:v>
      </x:c>
      <x:c r="B10" s="22" t="str">
        <x:v>黑皮鸡枞菌</x:v>
      </x:c>
      <x:c r="C10" s="22" t="str">
        <x:v>黑皮鸡纵</x:v>
      </x:c>
      <x:c r="D10" s="36" t="n">
        <x:v>0.9</x:v>
      </x:c>
      <x:c r="E10" s="22" t="str">
        <x:v>高相似待确认</x:v>
      </x:c>
      <x:c r="F10" s="22" t="str">
        <x:v>鲜/冻、规格和单位必须复核</x:v>
      </x:c>
    </x:row>
    <x:row r="11">
      <x:c r="A11" s="22" t="str">
        <x:v>盘点品项→BOM原料</x:v>
      </x:c>
      <x:c r="B11" s="22" t="str">
        <x:v>冻美味牛肝菌</x:v>
      </x:c>
      <x:c r="C11" s="22" t="str">
        <x:v>牛肝菌</x:v>
      </x:c>
      <x:c r="D11" s="36" t="n">
        <x:v>0.84</x:v>
      </x:c>
      <x:c r="E11" s="22" t="str">
        <x:v>可能匹配待确认</x:v>
      </x:c>
      <x:c r="F11" s="22" t="str">
        <x:v>鲜/冻、规格和单位必须复核</x:v>
      </x:c>
    </x:row>
    <x:row r="12">
      <x:c r="A12" s="22" t="str">
        <x:v>盘点品项→BOM原料</x:v>
      </x:c>
      <x:c r="B12" s="22" t="str">
        <x:v>冻黄牛肝菌</x:v>
      </x:c>
      <x:c r="C12" s="22" t="str">
        <x:v>牛肝菌</x:v>
      </x:c>
      <x:c r="D12" s="36" t="n">
        <x:v>0.86</x:v>
      </x:c>
      <x:c r="E12" s="22" t="str">
        <x:v>高相似待确认</x:v>
      </x:c>
      <x:c r="F12" s="22" t="str">
        <x:v>鲜/冻、规格和单位必须复核</x:v>
      </x:c>
    </x:row>
    <x:row r="13">
      <x:c r="A13" s="22" t="str">
        <x:v>盘点品项→BOM原料</x:v>
      </x:c>
      <x:c r="B13" s="22" t="str">
        <x:v>生蚝</x:v>
      </x:c>
      <x:c r="C13" s="22" t="str">
        <x:v>生蚝/个</x:v>
      </x:c>
      <x:c r="D13" s="36" t="n">
        <x:v>0.8733</x:v>
      </x:c>
      <x:c r="E13" s="22" t="str">
        <x:v>高相似待确认</x:v>
      </x:c>
      <x:c r="F13" s="22" t="str">
        <x:v>鲜/冻、规格和单位必须复核</x:v>
      </x:c>
    </x:row>
    <x:row r="14">
      <x:c r="A14" s="22" t="str">
        <x:v>盘点品项→BOM原料</x:v>
      </x:c>
      <x:c r="B14" s="22" t="str">
        <x:v>傣味舂鸡爪酱</x:v>
      </x:c>
      <x:c r="C14" s="22" t="str">
        <x:v>鸡爪</x:v>
      </x:c>
      <x:c r="D14" s="36" t="n">
        <x:v>0.8067</x:v>
      </x:c>
      <x:c r="E14" s="22" t="str">
        <x:v>可能匹配待确认</x:v>
      </x:c>
      <x:c r="F14" s="22" t="str">
        <x:v>鲜/冻、规格和单位必须复核</x:v>
      </x:c>
    </x:row>
    <x:row r="15">
      <x:c r="A15" s="22" t="str">
        <x:v>盘点品项→BOM原料</x:v>
      </x:c>
      <x:c r="B15" s="22" t="str">
        <x:v>云南腊排骨</x:v>
      </x:c>
      <x:c r="C15" s="22" t="str">
        <x:v>排骨</x:v>
      </x:c>
      <x:c r="D15" s="36" t="n">
        <x:v>0.82</x:v>
      </x:c>
      <x:c r="E15" s="22" t="str">
        <x:v>可能匹配待确认</x:v>
      </x:c>
      <x:c r="F15" s="22" t="str">
        <x:v>鲜/冻、规格和单位必须复核</x:v>
      </x:c>
    </x:row>
    <x:row r="16">
      <x:c r="A16" s="22" t="str">
        <x:v>盘点品项→BOM原料</x:v>
      </x:c>
      <x:c r="B16" s="22" t="str">
        <x:v>云南腊火腿</x:v>
      </x:c>
      <x:c r="C16" s="22" t="str">
        <x:v>火腿</x:v>
      </x:c>
      <x:c r="D16" s="36" t="n">
        <x:v>0.82</x:v>
      </x:c>
      <x:c r="E16" s="22" t="str">
        <x:v>可能匹配待确认</x:v>
      </x:c>
      <x:c r="F16" s="22" t="str">
        <x:v>鲜/冻、规格和单位必须复核</x:v>
      </x:c>
    </x:row>
    <x:row r="17">
      <x:c r="A17" s="22" t="str">
        <x:v>盘点品项→BOM原料</x:v>
      </x:c>
      <x:c r="B17" s="22" t="str">
        <x:v>新平酸菜（整）</x:v>
      </x:c>
      <x:c r="C17" s="22" t="str">
        <x:v>新平酸菜</x:v>
      </x:c>
      <x:c r="D17" s="36" t="n">
        <x:v>0.9</x:v>
      </x:c>
      <x:c r="E17" s="22" t="str">
        <x:v>高相似待确认</x:v>
      </x:c>
      <x:c r="F17" s="22" t="str">
        <x:v>鲜/冻、规格和单位必须复核</x:v>
      </x:c>
    </x:row>
    <x:row r="18">
      <x:c r="A18" s="22" t="str">
        <x:v>盘点品项→BOM原料</x:v>
      </x:c>
      <x:c r="B18" s="22" t="str">
        <x:v>酸萝卜丝·富源酸菜</x:v>
      </x:c>
      <x:c r="C18" s="22" t="str">
        <x:v>酸萝卜丝</x:v>
      </x:c>
      <x:c r="D18" s="36" t="n">
        <x:v>0.84</x:v>
      </x:c>
      <x:c r="E18" s="22" t="str">
        <x:v>可能匹配待确认</x:v>
      </x:c>
      <x:c r="F18" s="22" t="str">
        <x:v>鲜/冻、规格和单位必须复核</x:v>
      </x:c>
    </x:row>
    <x:row r="19">
      <x:c r="A19" s="22" t="str">
        <x:v>盘点品项→BOM原料</x:v>
      </x:c>
      <x:c r="B19" s="22" t="str">
        <x:v>汤底调味粉·滇界定制</x:v>
      </x:c>
      <x:c r="C19" s="22" t="str">
        <x:v>调味粉</x:v>
      </x:c>
      <x:c r="D19" s="36" t="n">
        <x:v>0.8067</x:v>
      </x:c>
      <x:c r="E19" s="22" t="str">
        <x:v>可能匹配待确认</x:v>
      </x:c>
      <x:c r="F19" s="22" t="str">
        <x:v>鲜/冻、规格和单位必须复核</x:v>
      </x:c>
    </x:row>
    <x:row r="20">
      <x:c r="A20" s="22" t="str">
        <x:v>盘点品项→BOM原料</x:v>
      </x:c>
      <x:c r="B20" s="22" t="str">
        <x:v>火锅专用红油·滇界定制</x:v>
      </x:c>
      <x:c r="C20" s="22" t="str">
        <x:v>红油</x:v>
      </x:c>
      <x:c r="D20" s="36" t="n">
        <x:v>0.78</x:v>
      </x:c>
      <x:c r="E20" s="22" t="str">
        <x:v>可能匹配待确认</x:v>
      </x:c>
      <x:c r="F20" s="22" t="str">
        <x:v>鲜/冻、规格和单位必须复核</x:v>
      </x:c>
    </x:row>
    <x:row r="21">
      <x:c r="A21" s="22" t="str">
        <x:v>盘点品项→BOM原料</x:v>
      </x:c>
      <x:c r="B21" s="22" t="str">
        <x:v>特级丘北辣椒</x:v>
      </x:c>
      <x:c r="C21" s="22" t="str">
        <x:v>丘北辣椒</x:v>
      </x:c>
      <x:c r="D21" s="36" t="n">
        <x:v>0.8733</x:v>
      </x:c>
      <x:c r="E21" s="22" t="str">
        <x:v>高相似待确认</x:v>
      </x:c>
      <x:c r="F21" s="22" t="str">
        <x:v>鲜/冻、规格和单位必须复核</x:v>
      </x:c>
    </x:row>
    <x:row r="22">
      <x:c r="A22" s="22" t="str">
        <x:v>盘点品项→BOM原料</x:v>
      </x:c>
      <x:c r="B22" s="22" t="str">
        <x:v>特级丘北辣椒碎</x:v>
      </x:c>
      <x:c r="C22" s="22" t="str">
        <x:v>丘北辣椒</x:v>
      </x:c>
      <x:c r="D22" s="36" t="n">
        <x:v>0.8543</x:v>
      </x:c>
      <x:c r="E22" s="22" t="str">
        <x:v>可能匹配待确认</x:v>
      </x:c>
      <x:c r="F22" s="22" t="str">
        <x:v>鲜/冻、规格和单位必须复核</x:v>
      </x:c>
    </x:row>
    <x:row r="23">
      <x:c r="A23" s="22" t="str">
        <x:v>盘点品项→BOM原料</x:v>
      </x:c>
      <x:c r="B23" s="22" t="str">
        <x:v>特级灯笼椒</x:v>
      </x:c>
      <x:c r="C23" s="22" t="str">
        <x:v>灯笼椒</x:v>
      </x:c>
      <x:c r="D23" s="36" t="n">
        <x:v>0.86</x:v>
      </x:c>
      <x:c r="E23" s="22" t="str">
        <x:v>高相似待确认</x:v>
      </x:c>
      <x:c r="F23" s="22" t="str">
        <x:v>鲜/冻、规格和单位必须复核</x:v>
      </x:c>
    </x:row>
    <x:row r="24">
      <x:c r="A24" s="22" t="str">
        <x:v>盘点品项→BOM原料</x:v>
      </x:c>
      <x:c r="B24" s="22" t="str">
        <x:v>秘制底料·滇界定制</x:v>
      </x:c>
      <x:c r="C24" s="22" t="str">
        <x:v>秘制底料</x:v>
      </x:c>
      <x:c r="D24" s="36" t="n">
        <x:v>0.84</x:v>
      </x:c>
      <x:c r="E24" s="22" t="str">
        <x:v>可能匹配待确认</x:v>
      </x:c>
      <x:c r="F24" s="22" t="str">
        <x:v>鲜/冻、规格和单位必须复核</x:v>
      </x:c>
    </x:row>
    <x:row r="25">
      <x:c r="A25" s="22" t="str">
        <x:v>盘点品项→BOM原料</x:v>
      </x:c>
      <x:c r="B25" s="22" t="str">
        <x:v>五常大米</x:v>
      </x:c>
      <x:c r="C25" s="22" t="str">
        <x:v>冷冻五常大米块</x:v>
      </x:c>
      <x:c r="D25" s="36" t="n">
        <x:v>0.8543</x:v>
      </x:c>
      <x:c r="E25" s="22" t="str">
        <x:v>可能匹配待确认</x:v>
      </x:c>
      <x:c r="F25" s="22" t="str">
        <x:v>鲜/冻、规格和单位必须复核</x:v>
      </x:c>
    </x:row>
    <x:row r="26">
      <x:c r="A26" s="22" t="str">
        <x:v>盘点品项→BOM原料</x:v>
      </x:c>
      <x:c r="B26" s="22" t="str">
        <x:v>石屏包浆豆腐（小）</x:v>
      </x:c>
      <x:c r="C26" s="22" t="str">
        <x:v>包浆豆腐</x:v>
      </x:c>
      <x:c r="D26" s="36" t="n">
        <x:v>0.8543</x:v>
      </x:c>
      <x:c r="E26" s="22" t="str">
        <x:v>可能匹配待确认</x:v>
      </x:c>
      <x:c r="F26" s="22" t="str">
        <x:v>鲜/冻、规格和单位必须复核</x:v>
      </x:c>
    </x:row>
    <x:row r="27">
      <x:c r="A27" s="22" t="str">
        <x:v>盘点品项→BOM原料</x:v>
      </x:c>
      <x:c r="B27" s="22" t="str">
        <x:v>酥炸平菇</x:v>
      </x:c>
      <x:c r="C27" s="22" t="str">
        <x:v>炸平菇</x:v>
      </x:c>
      <x:c r="D27" s="36" t="n">
        <x:v>0.89</x:v>
      </x:c>
      <x:c r="E27" s="22" t="str">
        <x:v>高相似待确认</x:v>
      </x:c>
      <x:c r="F27" s="22" t="str">
        <x:v>鲜/冻、规格和单位必须复核</x:v>
      </x:c>
    </x:row>
    <x:row r="28">
      <x:c r="A28" s="22" t="str">
        <x:v>盘点品项→BOM原料</x:v>
      </x:c>
      <x:c r="B28" s="22" t="str">
        <x:v>野菜糍粑</x:v>
      </x:c>
      <x:c r="C28" s="22" t="str">
        <x:v>野菜粑粑</x:v>
      </x:c>
      <x:c r="D28" s="36" t="n">
        <x:v>0.75</x:v>
      </x:c>
      <x:c r="E28" s="22" t="str">
        <x:v>可能匹配待确认</x:v>
      </x:c>
      <x:c r="F28" s="22" t="str">
        <x:v>鲜/冻、规格和单位必须复核</x:v>
      </x:c>
    </x:row>
    <x:row r="29">
      <x:c r="A29" s="22" t="str">
        <x:v>盘点品项→BOM原料</x:v>
      </x:c>
      <x:c r="B29" s="22" t="str">
        <x:v>冻干巴菌</x:v>
      </x:c>
      <x:c r="C29" s="22" t="str">
        <x:v>干巴菌</x:v>
      </x:c>
      <x:c r="D29" s="36" t="n">
        <x:v>0.89</x:v>
      </x:c>
      <x:c r="E29" s="22" t="str">
        <x:v>高相似待确认</x:v>
      </x:c>
      <x:c r="F29" s="22" t="str">
        <x:v>鲜/冻、规格和单位必须复核</x:v>
      </x:c>
    </x:row>
    <x:row r="30">
      <x:c r="A30" s="22" t="str">
        <x:v>盘点品项→BOM原料</x:v>
      </x:c>
      <x:c r="B30" s="22" t="str">
        <x:v>猪黄喉</x:v>
      </x:c>
      <x:c r="C30" s="22" t="str">
        <x:v>黄喉</x:v>
      </x:c>
      <x:c r="D30" s="36" t="n">
        <x:v>0.8733</x:v>
      </x:c>
      <x:c r="E30" s="22" t="str">
        <x:v>高相似待确认</x:v>
      </x:c>
      <x:c r="F30" s="22" t="str">
        <x:v>鲜/冻、规格和单位必须复核</x:v>
      </x:c>
    </x:row>
    <x:row r="31">
      <x:c r="A31" s="22" t="str">
        <x:v>盘点品项→BOM原料</x:v>
      </x:c>
      <x:c r="B31" s="22" t="str">
        <x:v>精选水牛脆毛肚</x:v>
      </x:c>
      <x:c r="C31" s="22" t="str">
        <x:v>毛肚</x:v>
      </x:c>
      <x:c r="D31" s="36" t="n">
        <x:v>0.7971</x:v>
      </x:c>
      <x:c r="E31" s="22" t="str">
        <x:v>可能匹配待确认</x:v>
      </x:c>
      <x:c r="F31" s="22" t="str">
        <x:v>鲜/冻、规格和单位必须复核</x:v>
      </x:c>
    </x:row>
    <x:row r="32">
      <x:c r="A32" s="22" t="str">
        <x:v>盘点品项→BOM原料</x:v>
      </x:c>
      <x:c r="B32" s="22" t="str">
        <x:v>3A黑虎虾滑</x:v>
      </x:c>
      <x:c r="C32" s="22" t="str">
        <x:v>虾滑</x:v>
      </x:c>
      <x:c r="D32" s="36" t="n">
        <x:v>0.8067</x:v>
      </x:c>
      <x:c r="E32" s="22" t="str">
        <x:v>可能匹配待确认</x:v>
      </x:c>
      <x:c r="F32" s="22" t="str">
        <x:v>鲜/冻、规格和单位必须复核</x:v>
      </x:c>
    </x:row>
    <x:row r="33">
      <x:c r="A33" s="22" t="str">
        <x:v>盘点品项→BOM原料</x:v>
      </x:c>
      <x:c r="B33" s="22" t="str">
        <x:v>千丝蟹柳</x:v>
      </x:c>
      <x:c r="C33" s="22" t="str">
        <x:v>蟹柳</x:v>
      </x:c>
      <x:c r="D33" s="36" t="n">
        <x:v>0.84</x:v>
      </x:c>
      <x:c r="E33" s="22" t="str">
        <x:v>可能匹配待确认</x:v>
      </x:c>
      <x:c r="F33" s="22" t="str">
        <x:v>鲜/冻、规格和单位必须复核</x:v>
      </x:c>
    </x:row>
    <x:row r="34">
      <x:c r="A34" s="22" t="str">
        <x:v>盘点品项→BOM原料</x:v>
      </x:c>
      <x:c r="B34" s="22" t="str">
        <x:v>云南牛干巴</x:v>
      </x:c>
      <x:c r="C34" s="22" t="str">
        <x:v>牛干巴</x:v>
      </x:c>
      <x:c r="D34" s="36" t="n">
        <x:v>0.86</x:v>
      </x:c>
      <x:c r="E34" s="22" t="str">
        <x:v>高相似待确认</x:v>
      </x:c>
      <x:c r="F34" s="22" t="str">
        <x:v>鲜/冻、规格和单位必须复核</x:v>
      </x:c>
    </x:row>
    <x:row r="35">
      <x:c r="A35" s="22" t="str">
        <x:v>盘点品项→BOM原料</x:v>
      </x:c>
      <x:c r="B35" s="22" t="str">
        <x:v>保乐肩（大地飞雪）</x:v>
      </x:c>
      <x:c r="C35" s="22" t="str">
        <x:v>保乐肩</x:v>
      </x:c>
      <x:c r="D35" s="36" t="n">
        <x:v>0.8257</x:v>
      </x:c>
      <x:c r="E35" s="22" t="str">
        <x:v>可能匹配待确认</x:v>
      </x:c>
      <x:c r="F35" s="22" t="str">
        <x:v>鲜/冻、规格和单位必须复核</x:v>
      </x:c>
    </x:row>
    <x:row r="36">
      <x:c r="A36" s="22" t="str">
        <x:v>盘点品项→BOM原料</x:v>
      </x:c>
      <x:c r="B36" s="22" t="str">
        <x:v>吊龙切片（吊龙前段）</x:v>
      </x:c>
      <x:c r="C36" s="22" t="str">
        <x:v>吊龙</x:v>
      </x:c>
      <x:c r="D36" s="36" t="n">
        <x:v>0.79</x:v>
      </x:c>
      <x:c r="E36" s="22" t="str">
        <x:v>可能匹配待确认</x:v>
      </x:c>
      <x:c r="F36" s="22" t="str">
        <x:v>鲜/冻、规格和单位必须复核</x:v>
      </x:c>
    </x:row>
    <x:row r="37">
      <x:c r="A37" s="22" t="str">
        <x:v>盘点品项→BOM原料</x:v>
      </x:c>
      <x:c r="B37" s="22" t="str">
        <x:v>大米龙（奶香雪花）</x:v>
      </x:c>
      <x:c r="C37" s="22" t="str">
        <x:v>大米龙</x:v>
      </x:c>
      <x:c r="D37" s="36" t="n">
        <x:v>0.8257</x:v>
      </x:c>
      <x:c r="E37" s="22" t="str">
        <x:v>可能匹配待确认</x:v>
      </x:c>
      <x:c r="F37" s="22" t="str">
        <x:v>鲜/冻、规格和单位必须复核</x:v>
      </x:c>
    </x:row>
    <x:row r="38">
      <x:c r="A38" s="22" t="str">
        <x:v>盘点品项→BOM原料</x:v>
      </x:c>
      <x:c r="B38" s="22" t="str">
        <x:v>板腱切片（五花趾）</x:v>
      </x:c>
      <x:c r="C38" s="22" t="str">
        <x:v>板腱</x:v>
      </x:c>
      <x:c r="D38" s="36" t="n">
        <x:v>0.7971</x:v>
      </x:c>
      <x:c r="E38" s="22" t="str">
        <x:v>可能匹配待确认</x:v>
      </x:c>
      <x:c r="F38" s="22" t="str">
        <x:v>鲜/冻、规格和单位必须复核</x:v>
      </x:c>
    </x:row>
    <x:row r="39">
      <x:c r="A39" s="22" t="str">
        <x:v>盘点品项→BOM原料</x:v>
      </x:c>
      <x:c r="B39" s="22" t="str">
        <x:v>火锅小香肠</x:v>
      </x:c>
      <x:c r="C39" s="22" t="str">
        <x:v>小香肠</x:v>
      </x:c>
      <x:c r="D39" s="36" t="n">
        <x:v>0.86</x:v>
      </x:c>
      <x:c r="E39" s="22" t="str">
        <x:v>高相似待确认</x:v>
      </x:c>
      <x:c r="F39" s="22" t="str">
        <x:v>鲜/冻、规格和单位必须复核</x:v>
      </x:c>
    </x:row>
    <x:row r="40">
      <x:c r="A40" s="22" t="str">
        <x:v>盘点品项→BOM原料</x:v>
      </x:c>
      <x:c r="B40" s="22" t="str">
        <x:v>鲜嫩西冷</x:v>
      </x:c>
      <x:c r="C40" s="22" t="str">
        <x:v>西冷</x:v>
      </x:c>
      <x:c r="D40" s="36" t="n">
        <x:v>0.84</x:v>
      </x:c>
      <x:c r="E40" s="22" t="str">
        <x:v>可能匹配待确认</x:v>
      </x:c>
      <x:c r="F40" s="22" t="str">
        <x:v>鲜/冻、规格和单位必须复核</x:v>
      </x:c>
    </x:row>
    <x:row r="41">
      <x:c r="A41" s="22" t="str">
        <x:v>盘点品项→BOM原料</x:v>
      </x:c>
      <x:c r="B41" s="22" t="str">
        <x:v>黑鱼花</x:v>
      </x:c>
      <x:c r="C41" s="22" t="str">
        <x:v>鱼花</x:v>
      </x:c>
      <x:c r="D41" s="36" t="n">
        <x:v>0.8733</x:v>
      </x:c>
      <x:c r="E41" s="22" t="str">
        <x:v>高相似待确认</x:v>
      </x:c>
      <x:c r="F41" s="22" t="str">
        <x:v>鲜/冻、规格和单位必须复核</x:v>
      </x:c>
    </x:row>
    <x:row r="42">
      <x:c r="A42" s="22" t="str">
        <x:v>盘点品项→BOM原料</x:v>
      </x:c>
      <x:c r="B42" s="22" t="str">
        <x:v>冷冻酸木瓜片</x:v>
      </x:c>
      <x:c r="C42" s="22" t="str">
        <x:v>冷冻酸木瓜汁</x:v>
      </x:c>
      <x:c r="D42" s="36" t="n">
        <x:v>0.8333</x:v>
      </x:c>
      <x:c r="E42" s="22" t="str">
        <x:v>可能匹配待确认</x:v>
      </x:c>
      <x:c r="F42" s="22" t="str">
        <x:v>鲜/冻、规格和单位必须复核</x:v>
      </x:c>
    </x:row>
    <x:row r="43">
      <x:c r="A43" s="22" t="str">
        <x:v>盘点品项→BOM原料</x:v>
      </x:c>
      <x:c r="B43" s="22" t="str">
        <x:v>冷冻香橙胡萝卜汁</x:v>
      </x:c>
      <x:c r="C43" s="22" t="str">
        <x:v>冷冻胡萝卜香橙汁</x:v>
      </x:c>
      <x:c r="D43" s="36" t="n">
        <x:v>0.75</x:v>
      </x:c>
      <x:c r="E43" s="22" t="str">
        <x:v>可能匹配待确认</x:v>
      </x:c>
      <x:c r="F43" s="22" t="str">
        <x:v>鲜/冻、规格和单位必须复核</x:v>
      </x:c>
    </x:row>
    <x:row r="44">
      <x:c r="A44" s="22" t="str">
        <x:v>盘点品项→BOM原料</x:v>
      </x:c>
      <x:c r="B44" s="22" t="str">
        <x:v>冷冻黄皮汁</x:v>
      </x:c>
      <x:c r="C44" s="22" t="str">
        <x:v>黄皮汁</x:v>
      </x:c>
      <x:c r="D44" s="36" t="n">
        <x:v>0.86</x:v>
      </x:c>
      <x:c r="E44" s="22" t="str">
        <x:v>高相似待确认</x:v>
      </x:c>
      <x:c r="F44" s="22" t="str">
        <x:v>鲜/冻、规格和单位必须复核</x:v>
      </x:c>
    </x:row>
    <x:row r="45">
      <x:c r="A45" s="22" t="str">
        <x:v>盘点品项→BOM原料</x:v>
      </x:c>
      <x:c r="B45" s="22" t="str">
        <x:v>香水柠檬</x:v>
      </x:c>
      <x:c r="C45" s="22" t="str">
        <x:v>香水柠檬/2片</x:v>
      </x:c>
      <x:c r="D45" s="36" t="n">
        <x:v>0.8733</x:v>
      </x:c>
      <x:c r="E45" s="22" t="str">
        <x:v>高相似待确认</x:v>
      </x:c>
      <x:c r="F45" s="22" t="str">
        <x:v>鲜/冻、规格和单位必须复核</x:v>
      </x:c>
    </x:row>
    <x:row r="46">
      <x:c r="A46" s="22" t="str">
        <x:v>盘点品项→BOM原料</x:v>
      </x:c>
      <x:c r="B46" s="22" t="str">
        <x:v>SevenQ茉莉绿茶</x:v>
      </x:c>
      <x:c r="C46" s="22" t="str">
        <x:v>茉莉绿茶</x:v>
      </x:c>
      <x:c r="D46" s="36" t="n">
        <x:v>0.82</x:v>
      </x:c>
      <x:c r="E46" s="22" t="str">
        <x:v>可能匹配待确认</x:v>
      </x:c>
      <x:c r="F46" s="22" t="str">
        <x:v>鲜/冻、规格和单位必须复核</x:v>
      </x:c>
    </x:row>
    <x:row r="47">
      <x:c r="A47" s="22" t="str">
        <x:v>盘点品项→BOM原料</x:v>
      </x:c>
      <x:c r="B47" s="22" t="str">
        <x:v>木姜子提取液</x:v>
      </x:c>
      <x:c r="C47" s="22" t="str">
        <x:v>木姜子</x:v>
      </x:c>
      <x:c r="D47" s="36" t="n">
        <x:v>0.84</x:v>
      </x:c>
      <x:c r="E47" s="22" t="str">
        <x:v>可能匹配待确认</x:v>
      </x:c>
      <x:c r="F47" s="22" t="str">
        <x:v>鲜/冻、规格和单位必须复核</x:v>
      </x:c>
    </x:row>
    <x:row r="48">
      <x:c r="A48" s="22" t="str">
        <x:v>盘点品项→BOM原料</x:v>
      </x:c>
      <x:c r="B48" s="22" t="str">
        <x:v>甄选奇异果果茸</x:v>
      </x:c>
      <x:c r="C48" s="22" t="str">
        <x:v>奇异果茸</x:v>
      </x:c>
      <x:c r="D48" s="36" t="n">
        <x:v>0.7273</x:v>
      </x:c>
      <x:c r="E48" s="22" t="str">
        <x:v>可能匹配待确认</x:v>
      </x:c>
      <x:c r="F48" s="22" t="str">
        <x:v>鲜/冻、规格和单位必须复核</x:v>
      </x:c>
    </x:row>
    <x:row r="49">
      <x:c r="A49" s="22" t="str">
        <x:v>盘点品项→BOM原料</x:v>
      </x:c>
      <x:c r="B49" s="22" t="str">
        <x:v>甄选芭乐果茸</x:v>
      </x:c>
      <x:c r="C49" s="22" t="str">
        <x:v>芭乐果茸</x:v>
      </x:c>
      <x:c r="D49" s="36" t="n">
        <x:v>0.8733</x:v>
      </x:c>
      <x:c r="E49" s="22" t="str">
        <x:v>高相似待确认</x:v>
      </x:c>
      <x:c r="F49" s="22" t="str">
        <x:v>鲜/冻、规格和单位必须复核</x:v>
      </x:c>
    </x:row>
    <x:row r="50">
      <x:c r="A50" s="22" t="str">
        <x:v>盘点品项→BOM原料</x:v>
      </x:c>
      <x:c r="B50" s="22" t="str">
        <x:v>祁牧鲜活牛奶</x:v>
      </x:c>
      <x:c r="C50" s="22" t="str">
        <x:v>牛奶</x:v>
      </x:c>
      <x:c r="D50" s="36" t="n">
        <x:v>0.8067</x:v>
      </x:c>
      <x:c r="E50" s="22" t="str">
        <x:v>可能匹配待确认</x:v>
      </x:c>
      <x:c r="F50" s="22" t="str">
        <x:v>鲜/冻、规格和单位必须复核</x:v>
      </x:c>
    </x:row>
    <x:row r="51">
      <x:c r="A51" s="22" t="str">
        <x:v>盘点品项→BOM原料</x:v>
      </x:c>
      <x:c r="B51" s="22" t="str">
        <x:v>竹蔗风味糖浆</x:v>
      </x:c>
      <x:c r="C51" s="22" t="str">
        <x:v>糖浆</x:v>
      </x:c>
      <x:c r="D51" s="36" t="n">
        <x:v>0.8067</x:v>
      </x:c>
      <x:c r="E51" s="22" t="str">
        <x:v>可能匹配待确认</x:v>
      </x:c>
      <x:c r="F51" s="22" t="str">
        <x:v>鲜/冻、规格和单位必须复核</x:v>
      </x:c>
    </x:row>
    <x:row r="52">
      <x:c r="A52" s="22" t="str">
        <x:v>盘点品项→BOM原料</x:v>
      </x:c>
      <x:c r="B52" s="22" t="str">
        <x:v>见手青啤酒</x:v>
      </x:c>
      <x:c r="C52" s="22" t="str">
        <x:v>见手青</x:v>
      </x:c>
      <x:c r="D52" s="36" t="n">
        <x:v>0.86</x:v>
      </x:c>
      <x:c r="E52" s="22" t="str">
        <x:v>高相似待确认</x:v>
      </x:c>
      <x:c r="F52" s="22" t="str">
        <x:v>鲜/冻、规格和单位必须复核</x:v>
      </x:c>
    </x:row>
    <x:row r="53">
      <x:c r="A53" s="22" t="str">
        <x:v>盘点品项→BOM原料</x:v>
      </x:c>
      <x:c r="B53" s="22" t="str">
        <x:v>调味糖浆（冰糖糖浆）</x:v>
      </x:c>
      <x:c r="C53" s="22" t="str">
        <x:v>调味糖浆</x:v>
      </x:c>
      <x:c r="D53" s="36" t="n">
        <x:v>0.84</x:v>
      </x:c>
      <x:c r="E53" s="22" t="str">
        <x:v>可能匹配待确认</x:v>
      </x:c>
      <x:c r="F53" s="22" t="str">
        <x:v>鲜/冻、规格和单位必须复核</x:v>
      </x:c>
    </x:row>
    <x:row r="54">
      <x:c r="A54" s="22" t="str">
        <x:v>盘点品项→BOM原料</x:v>
      </x:c>
      <x:c r="B54" s="22" t="str">
        <x:v>黄柠檬</x:v>
      </x:c>
      <x:c r="C54" s="22" t="str">
        <x:v>去籽黄柠檬</x:v>
      </x:c>
      <x:c r="D54" s="36" t="n">
        <x:v>0.86</x:v>
      </x:c>
      <x:c r="E54" s="22" t="str">
        <x:v>高相似待确认</x:v>
      </x:c>
      <x:c r="F54" s="22" t="str">
        <x:v>鲜/冻、规格和单位必须复核</x:v>
      </x:c>
    </x:row>
    <x:row r="55">
      <x:c r="A55" s="22" t="str">
        <x:v>盘点品项→BOM原料</x:v>
      </x:c>
      <x:c r="B55" s="22" t="str">
        <x:v>甜心芭乐柠果汁包</x:v>
      </x:c>
      <x:c r="C55" s="22" t="str">
        <x:v>芭乐</x:v>
      </x:c>
      <x:c r="D55" s="36" t="n">
        <x:v>0.79</x:v>
      </x:c>
      <x:c r="E55" s="22" t="str">
        <x:v>可能匹配待确认</x:v>
      </x:c>
      <x:c r="F55" s="22" t="str">
        <x:v>鲜/冻、规格和单位必须复核</x:v>
      </x:c>
    </x:row>
    <x:row r="56">
      <x:c r="A56" s="22" t="str">
        <x:v>盘点品项→BOM原料</x:v>
      </x:c>
      <x:c r="B56" s="22" t="str">
        <x:v>去骨鸡爪</x:v>
      </x:c>
      <x:c r="C56" s="22" t="str">
        <x:v>鸡爪</x:v>
      </x:c>
      <x:c r="D56" s="36" t="n">
        <x:v>0.84</x:v>
      </x:c>
      <x:c r="E56" s="22" t="str">
        <x:v>可能匹配待确认</x:v>
      </x:c>
      <x:c r="F56" s="22" t="str">
        <x:v>鲜/冻、规格和单位必须复核</x:v>
      </x:c>
    </x:row>
    <x:row r="57">
      <x:c r="A57" s="22" t="str">
        <x:v>盘点品项→BOM原料</x:v>
      </x:c>
      <x:c r="B57" s="22" t="str">
        <x:v>白米线</x:v>
      </x:c>
      <x:c r="C57" s="22" t="str">
        <x:v>米线</x:v>
      </x:c>
      <x:c r="D57" s="36" t="n">
        <x:v>0.8733</x:v>
      </x:c>
      <x:c r="E57" s="22" t="str">
        <x:v>高相似待确认</x:v>
      </x:c>
      <x:c r="F57" s="22" t="str">
        <x:v>鲜/冻、规格和单位必须复核</x:v>
      </x:c>
    </x:row>
    <x:row r="58">
      <x:c r="A58" s="22" t="str">
        <x:v>盘点品项→BOM原料</x:v>
      </x:c>
      <x:c r="B58" s="22" t="str">
        <x:v>云南豆腐皮</x:v>
      </x:c>
      <x:c r="C58" s="22" t="str">
        <x:v>豆腐皮</x:v>
      </x:c>
      <x:c r="D58" s="36" t="n">
        <x:v>0.86</x:v>
      </x:c>
      <x:c r="E58" s="22" t="str">
        <x:v>高相似待确认</x:v>
      </x:c>
      <x:c r="F58" s="22" t="str">
        <x:v>鲜/冻、规格和单位必须复核</x:v>
      </x:c>
    </x:row>
    <x:row r="59">
      <x:c r="A59" s="22" t="str">
        <x:v>盘点品项→BOM原料</x:v>
      </x:c>
      <x:c r="B59" s="22" t="str">
        <x:v>包浆豆腐（大）</x:v>
      </x:c>
      <x:c r="C59" s="22" t="str">
        <x:v>包浆豆腐</x:v>
      </x:c>
      <x:c r="D59" s="36" t="n">
        <x:v>0.9</x:v>
      </x:c>
      <x:c r="E59" s="22" t="str">
        <x:v>高相似待确认</x:v>
      </x:c>
      <x:c r="F59" s="22" t="str">
        <x:v>鲜/冻、规格和单位必须复核</x:v>
      </x:c>
    </x:row>
    <x:row r="60">
      <x:c r="A60" s="22" t="str">
        <x:v>盘点品项→BOM原料</x:v>
      </x:c>
      <x:c r="B60" s="22" t="str">
        <x:v>特级信威贡菜</x:v>
      </x:c>
      <x:c r="C60" s="22" t="str">
        <x:v>贡菜</x:v>
      </x:c>
      <x:c r="D60" s="36" t="n">
        <x:v>0.8067</x:v>
      </x:c>
      <x:c r="E60" s="22" t="str">
        <x:v>可能匹配待确认</x:v>
      </x:c>
      <x:c r="F60" s="22" t="str">
        <x:v>鲜/冻、规格和单位必须复核</x:v>
      </x:c>
    </x:row>
    <x:row r="61">
      <x:c r="A61" s="22" t="str">
        <x:v>盘点品项→BOM原料</x:v>
      </x:c>
      <x:c r="B61" s="22" t="str">
        <x:v>李锦记生抽</x:v>
      </x:c>
      <x:c r="C61" s="22" t="str">
        <x:v>生抽</x:v>
      </x:c>
      <x:c r="D61" s="36" t="n">
        <x:v>0.82</x:v>
      </x:c>
      <x:c r="E61" s="22" t="str">
        <x:v>可能匹配待确认</x:v>
      </x:c>
      <x:c r="F61" s="22" t="str">
        <x:v>鲜/冻、规格和单位必须复核</x:v>
      </x:c>
    </x:row>
    <x:row r="62">
      <x:c r="A62" s="22" t="str">
        <x:v>销售菜品→BOM菜品</x:v>
      </x:c>
      <x:c r="B62" s="22" t="str">
        <x:v>十界菌菇汤锅</x:v>
      </x:c>
      <x:c r="C62" s="22" t="str">
        <x:v>十界菌菇汤锅配跑山鸡</x:v>
      </x:c>
      <x:c r="D62" s="36" t="n">
        <x:v>0.86</x:v>
      </x:c>
      <x:c r="E62" s="22" t="str">
        <x:v>高相似待确认</x:v>
      </x:c>
      <x:c r="F62" s="22" t="str">
        <x:v>确认是否同一菜品或历史改名</x:v>
      </x:c>
    </x:row>
    <x:row r="63">
      <x:c r="A63" s="22" t="str">
        <x:v>销售菜品→BOM菜品</x:v>
      </x:c>
      <x:c r="B63" s="22" t="str">
        <x:v>武定跑山鸡</x:v>
      </x:c>
      <x:c r="C63" s="22" t="str">
        <x:v>八鲜山菌·武定跑山鸡汤锅</x:v>
      </x:c>
      <x:c r="D63" s="36" t="n">
        <x:v>0.8309</x:v>
      </x:c>
      <x:c r="E63" s="22" t="str">
        <x:v>可能匹配待确认</x:v>
      </x:c>
      <x:c r="F63" s="22" t="str">
        <x:v>确认是否同一菜品或历史改名</x:v>
      </x:c>
    </x:row>
    <x:row r="64">
      <x:c r="A64" s="22" t="str">
        <x:v>销售菜品→BOM菜品</x:v>
      </x:c>
      <x:c r="B64" s="22" t="str">
        <x:v>大地飞雪</x:v>
      </x:c>
      <x:c r="C64" s="22" t="str">
        <x:v>和牛M5·大地飞雪</x:v>
      </x:c>
      <x:c r="D64" s="36" t="n">
        <x:v>0.84</x:v>
      </x:c>
      <x:c r="E64" s="22" t="str">
        <x:v>可能匹配待确认</x:v>
      </x:c>
      <x:c r="F64" s="22" t="str">
        <x:v>确认是否同一菜品或历史改名</x:v>
      </x:c>
    </x:row>
    <x:row r="65">
      <x:c r="A65" s="22" t="str">
        <x:v>销售菜品→BOM菜品</x:v>
      </x:c>
      <x:c r="B65" s="22" t="str">
        <x:v>宣威火腿</x:v>
      </x:c>
      <x:c r="C65" s="22" t="str">
        <x:v>宣威腊火腿</x:v>
      </x:c>
      <x:c r="D65" s="36" t="n">
        <x:v>0.8889</x:v>
      </x:c>
      <x:c r="E65" s="22" t="str">
        <x:v>高相似待确认</x:v>
      </x:c>
      <x:c r="F65" s="22" t="str">
        <x:v>确认是否同一菜品或历史改名</x:v>
      </x:c>
    </x:row>
    <x:row r="66">
      <x:c r="A66" s="22" t="str">
        <x:v>销售菜品→BOM菜品</x:v>
      </x:c>
      <x:c r="B66" s="22" t="str">
        <x:v>八鲜山菌汤锅·武定跑山鸡</x:v>
      </x:c>
      <x:c r="C66" s="22" t="str">
        <x:v>八鲜山菌·武定跑山鸡汤锅</x:v>
      </x:c>
      <x:c r="D66" s="36" t="n">
        <x:v>0.8182</x:v>
      </x:c>
      <x:c r="E66" s="22" t="str">
        <x:v>可能匹配待确认</x:v>
      </x:c>
      <x:c r="F66" s="22" t="str">
        <x:v>确认是否同一菜品或历史改名</x:v>
      </x:c>
    </x:row>
    <x:row r="67">
      <x:c r="A67" s="22" t="str">
        <x:v>销售菜品→BOM菜品</x:v>
      </x:c>
      <x:c r="B67" s="22" t="str">
        <x:v>琅琊土豆（微辣）</x:v>
      </x:c>
      <x:c r="C67" s="22" t="str">
        <x:v>琅琊土豆</x:v>
      </x:c>
      <x:c r="D67" s="36" t="n">
        <x:v>0.8733</x:v>
      </x:c>
      <x:c r="E67" s="22" t="str">
        <x:v>高相似待确认</x:v>
      </x:c>
      <x:c r="F67" s="22" t="str">
        <x:v>确认是否同一菜品或历史改名</x:v>
      </x:c>
    </x:row>
    <x:row r="68">
      <x:c r="A68" s="22" t="str">
        <x:v>销售菜品→BOM菜品</x:v>
      </x:c>
      <x:c r="B68" s="22" t="str">
        <x:v>鲜打牛肉丸</x:v>
      </x:c>
      <x:c r="C68" s="22" t="str">
        <x:v>手打牛肉丸</x:v>
      </x:c>
      <x:c r="D68" s="36" t="n">
        <x:v>0.8</x:v>
      </x:c>
      <x:c r="E68" s="22" t="str">
        <x:v>可能匹配待确认</x:v>
      </x:c>
      <x:c r="F68" s="22" t="str">
        <x:v>确认是否同一菜品或历史改名</x:v>
      </x:c>
    </x:row>
    <x:row r="69">
      <x:c r="A69" s="22" t="str">
        <x:v>销售菜品→BOM菜品</x:v>
      </x:c>
      <x:c r="B69" s="22" t="str">
        <x:v>长寿菜</x:v>
      </x:c>
      <x:c r="C69" s="22" t="str">
        <x:v>豌豆苗/长寿菜</x:v>
      </x:c>
      <x:c r="D69" s="36" t="n">
        <x:v>0.84</x:v>
      </x:c>
      <x:c r="E69" s="22" t="str">
        <x:v>可能匹配待确认</x:v>
      </x:c>
      <x:c r="F69" s="22" t="str">
        <x:v>确认是否同一菜品或历史改名</x:v>
      </x:c>
    </x:row>
    <x:row r="70">
      <x:c r="A70" s="22" t="str">
        <x:v>销售菜品→BOM菜品</x:v>
      </x:c>
      <x:c r="B70" s="22" t="str">
        <x:v>10 秒脆鸭肠</x:v>
      </x:c>
      <x:c r="C70" s="22" t="str">
        <x:v>鸭肠</x:v>
      </x:c>
      <x:c r="D70" s="36" t="n">
        <x:v>0.8067</x:v>
      </x:c>
      <x:c r="E70" s="22" t="str">
        <x:v>可能匹配待确认</x:v>
      </x:c>
      <x:c r="F70" s="22" t="str">
        <x:v>确认是否同一菜品或历史改名</x:v>
      </x:c>
    </x:row>
    <x:row r="71">
      <x:c r="A71" s="22" t="str">
        <x:v>销售菜品→BOM菜品</x:v>
      </x:c>
      <x:c r="B71" s="22" t="str">
        <x:v>竹荪菌</x:v>
      </x:c>
      <x:c r="C71" s="22" t="str">
        <x:v>竹荪</x:v>
      </x:c>
      <x:c r="D71" s="36" t="n">
        <x:v>0.8733</x:v>
      </x:c>
      <x:c r="E71" s="22" t="str">
        <x:v>高相似待确认</x:v>
      </x:c>
      <x:c r="F71" s="22" t="str">
        <x:v>确认是否同一菜品或历史改名</x:v>
      </x:c>
    </x:row>
    <x:row r="72">
      <x:c r="A72" s="22" t="str">
        <x:v>销售菜品→BOM菜品</x:v>
      </x:c>
      <x:c r="B72" s="22" t="str">
        <x:v>和牛·奶香雪花牛</x:v>
      </x:c>
      <x:c r="C72" s="22" t="str">
        <x:v>奶香雪花牛</x:v>
      </x:c>
      <x:c r="D72" s="36" t="n">
        <x:v>0.8829</x:v>
      </x:c>
      <x:c r="E72" s="22" t="str">
        <x:v>高相似待确认</x:v>
      </x:c>
      <x:c r="F72" s="22" t="str">
        <x:v>确认是否同一菜品或历史改名</x:v>
      </x:c>
    </x:row>
    <x:row r="73">
      <x:c r="A73" s="22" t="str">
        <x:v>销售菜品→BOM菜品</x:v>
      </x:c>
      <x:c r="B73" s="22" t="str">
        <x:v>和牛 M7·奶香雪花牛</x:v>
      </x:c>
      <x:c r="C73" s="22" t="str">
        <x:v>奶香雪花牛</x:v>
      </x:c>
      <x:c r="D73" s="36" t="n">
        <x:v>0.8511</x:v>
      </x:c>
      <x:c r="E73" s="22" t="str">
        <x:v>可能匹配待确认</x:v>
      </x:c>
      <x:c r="F73" s="22" t="str">
        <x:v>确认是否同一菜品或历史改名</x:v>
      </x:c>
    </x:row>
    <x:row r="74">
      <x:c r="A74" s="22" t="str">
        <x:v>销售菜品→BOM菜品</x:v>
      </x:c>
      <x:c r="B74" s="22" t="str">
        <x:v>石屏包浆豆腐</x:v>
      </x:c>
      <x:c r="C74" s="22" t="str">
        <x:v>石屏豆腐皮</x:v>
      </x:c>
      <x:c r="D74" s="36" t="n">
        <x:v>0.7273</x:v>
      </x:c>
      <x:c r="E74" s="22" t="str">
        <x:v>可能匹配待确认</x:v>
      </x:c>
      <x:c r="F74" s="22" t="str">
        <x:v>确认是否同一菜品或历史改名</x:v>
      </x:c>
    </x:row>
    <x:row r="75">
      <x:c r="A75" s="22" t="str">
        <x:v>销售菜品→BOM菜品</x:v>
      </x:c>
      <x:c r="B75" s="22" t="str">
        <x:v>和牛M7·奶香雪花牛</x:v>
      </x:c>
      <x:c r="C75" s="22" t="str">
        <x:v>奶香雪花牛</x:v>
      </x:c>
      <x:c r="D75" s="36" t="n">
        <x:v>0.8511</x:v>
      </x:c>
      <x:c r="E75" s="22" t="str">
        <x:v>可能匹配待确认</x:v>
      </x:c>
      <x:c r="F75" s="22" t="str">
        <x:v>确认是否同一菜品或历史改名</x:v>
      </x:c>
    </x:row>
    <x:row r="76">
      <x:c r="A76" s="22" t="str">
        <x:v>销售菜品→BOM菜品</x:v>
      </x:c>
      <x:c r="B76" s="22" t="str">
        <x:v>牛油果金耳刺身</x:v>
      </x:c>
      <x:c r="C76" s="22" t="str">
        <x:v>金耳</x:v>
      </x:c>
      <x:c r="D76" s="36" t="n">
        <x:v>0.7971</x:v>
      </x:c>
      <x:c r="E76" s="22" t="str">
        <x:v>可能匹配待确认</x:v>
      </x:c>
      <x:c r="F76" s="22" t="str">
        <x:v>确认是否同一菜品或历史改名</x:v>
      </x:c>
    </x:row>
    <x:row r="77">
      <x:c r="A77" s="22" t="str">
        <x:v>销售菜品→BOM菜品</x:v>
      </x:c>
      <x:c r="B77" s="22" t="str">
        <x:v>金耳菌</x:v>
      </x:c>
      <x:c r="C77" s="22" t="str">
        <x:v>金耳</x:v>
      </x:c>
      <x:c r="D77" s="36" t="n">
        <x:v>0.8733</x:v>
      </x:c>
      <x:c r="E77" s="22" t="str">
        <x:v>高相似待确认</x:v>
      </x:c>
      <x:c r="F77" s="22" t="str">
        <x:v>确认是否同一菜品或历史改名</x:v>
      </x:c>
    </x:row>
    <x:row r="78">
      <x:c r="A78" s="22" t="str">
        <x:v>销售菜品→BOM菜品</x:v>
      </x:c>
      <x:c r="B78" s="22" t="str">
        <x:v>鲜打薄荷丸子</x:v>
      </x:c>
      <x:c r="C78" s="22" t="str">
        <x:v>薄荷</x:v>
      </x:c>
      <x:c r="D78" s="36" t="n">
        <x:v>0.8067</x:v>
      </x:c>
      <x:c r="E78" s="22" t="str">
        <x:v>可能匹配待确认</x:v>
      </x:c>
      <x:c r="F78" s="22" t="str">
        <x:v>确认是否同一菜品或历史改名</x:v>
      </x:c>
    </x:row>
    <x:row r="79">
      <x:c r="A79" s="22" t="str">
        <x:v>销售菜品→BOM菜品</x:v>
      </x:c>
      <x:c r="B79" s="22" t="str">
        <x:v>和牛 M2·大地飞雪</x:v>
      </x:c>
      <x:c r="C79" s="22" t="str">
        <x:v>和牛M5·大地飞雪</x:v>
      </x:c>
      <x:c r="D79" s="36" t="n">
        <x:v>0.875</x:v>
      </x:c>
      <x:c r="E79" s="22" t="str">
        <x:v>高相似待确认</x:v>
      </x:c>
      <x:c r="F79" s="22" t="str">
        <x:v>确认是否同一菜品或历史改名</x:v>
      </x:c>
    </x:row>
    <x:row r="80">
      <x:c r="A80" s="24" t="str">
        <x:v>销售菜品→BOM菜品</x:v>
      </x:c>
      <x:c r="B80" s="24" t="str">
        <x:v>【云南鲜菌季】八鲜山菌·武定跑山鸡汤锅</x:v>
      </x:c>
      <x:c r="C80" s="24" t="str">
        <x:v>八鲜山菌·武定跑山鸡汤锅</x:v>
      </x:c>
      <x:c r="D80" s="37" t="n">
        <x:v>0.8775</x:v>
      </x:c>
      <x:c r="E80" s="24" t="str">
        <x:v>高相似待确认</x:v>
      </x:c>
      <x:c r="F80" s="24" t="str">
        <x:v>确认是否同一菜品或历史改名</x:v>
      </x:c>
    </x:row>
  </x:sheetData>
  <x:pageMargins left="0.7" right="0.7" top="0.75" bottom="0.75" header="0.3" footer="0.3"/>
  <x:tableParts count="1">
    <x:tablePart xmlns:r="http://schemas.openxmlformats.org/officeDocument/2006/relationships" r:id="R86c1c34494f943b6"/>
  </x:tableParts>
</x:worksheet>
</file>